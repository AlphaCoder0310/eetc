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wner\Desktop\CB\"/>
    </mc:Choice>
  </mc:AlternateContent>
  <xr:revisionPtr revIDLastSave="0" documentId="8_{4BD56FC3-D81A-4229-8D83-7D7499FC6C7F}" xr6:coauthVersionLast="47" xr6:coauthVersionMax="47" xr10:uidLastSave="{00000000-0000-0000-0000-000000000000}"/>
  <bookViews>
    <workbookView xWindow="-120" yWindow="-120" windowWidth="77040" windowHeight="21120" xr2:uid="{00000000-000D-0000-FFFF-FFFF00000000}"/>
  </bookViews>
  <sheets>
    <sheet name="FX &amp; NDF" sheetId="1" r:id="rId1"/>
    <sheet name="CB Monitor" sheetId="2" r:id="rId2"/>
    <sheet name="Swap &amp; Outright" sheetId="3" r:id="rId3"/>
    <sheet name="Inventory &amp; ALLQ" sheetId="4" r:id="rId4"/>
    <sheet name="T-1 &amp; Nuke Bid" sheetId="5" r:id="rId5"/>
    <sheet name="Bond Floor" sheetId="6" r:id="rId6"/>
    <sheet name="Reference Data" sheetId="7" r:id="rId7"/>
  </sheets>
  <externalReferences>
    <externalReference r:id="rId8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6" l="1"/>
  <c r="G36" i="6"/>
  <c r="G35" i="6"/>
  <c r="G33" i="6"/>
  <c r="G32" i="6"/>
  <c r="G28" i="6"/>
  <c r="G27" i="6"/>
  <c r="G26" i="6"/>
  <c r="G24" i="6"/>
  <c r="G23" i="6"/>
  <c r="G19" i="6"/>
  <c r="G18" i="6"/>
  <c r="G17" i="6"/>
  <c r="G15" i="6"/>
  <c r="G14" i="6"/>
  <c r="G10" i="6"/>
  <c r="G9" i="6"/>
  <c r="G8" i="6"/>
  <c r="G6" i="6"/>
  <c r="G5" i="6"/>
  <c r="C18" i="5"/>
  <c r="C28" i="4"/>
  <c r="C27" i="4"/>
  <c r="C26" i="4"/>
  <c r="C25" i="4"/>
  <c r="C34" i="3"/>
  <c r="C32" i="3"/>
  <c r="C31" i="3"/>
  <c r="C30" i="3"/>
  <c r="C22" i="2"/>
  <c r="C21" i="2"/>
  <c r="C20" i="2"/>
  <c r="C19" i="2"/>
  <c r="C17" i="2"/>
  <c r="G25" i="1"/>
  <c r="G24" i="1"/>
  <c r="G17" i="1"/>
  <c r="G16" i="1"/>
  <c r="G15" i="1"/>
  <c r="G14" i="1"/>
  <c r="G13" i="1"/>
  <c r="G7" i="1"/>
  <c r="E3" i="1"/>
  <c r="E2" i="1"/>
</calcChain>
</file>

<file path=xl/sharedStrings.xml><?xml version="1.0" encoding="utf-8"?>
<sst xmlns="http://schemas.openxmlformats.org/spreadsheetml/2006/main" count="381" uniqueCount="229">
  <si>
    <t>FX MONITOR — Spot Rates, NDF Curve &amp; Implied TWD Rates</t>
  </si>
  <si>
    <t>Date (Today):</t>
  </si>
  <si>
    <t>2026-03-10</t>
  </si>
  <si>
    <t>Formula:</t>
  </si>
  <si>
    <t>FX Factor:</t>
  </si>
  <si>
    <t>T-1 Date:</t>
  </si>
  <si>
    <t>2026-03-09</t>
  </si>
  <si>
    <t>FX Spot Rates</t>
  </si>
  <si>
    <t>Today</t>
  </si>
  <si>
    <t>T-1</t>
  </si>
  <si>
    <t>% Change</t>
  </si>
  <si>
    <t>Adj Factor</t>
  </si>
  <si>
    <t>Formula</t>
  </si>
  <si>
    <t>USDTWD Spot</t>
  </si>
  <si>
    <t>NTN+3M</t>
  </si>
  <si>
    <t>NTN+12M</t>
  </si>
  <si>
    <t>{=AVERAGE(E:E-E4)*G2}</t>
  </si>
  <si>
    <t>NDF Forward Curve &amp; Implied TWD Rates</t>
  </si>
  <si>
    <t>Tenor</t>
  </si>
  <si>
    <t>NDF Outright</t>
  </si>
  <si>
    <t>Vs Spot</t>
  </si>
  <si>
    <t>USGG Yield</t>
  </si>
  <si>
    <t>Implied TWD</t>
  </si>
  <si>
    <t>Formula (NDF)</t>
  </si>
  <si>
    <t>1M</t>
  </si>
  <si>
    <t>3M</t>
  </si>
  <si>
    <t>12M</t>
  </si>
  <si>
    <t>24M</t>
  </si>
  <si>
    <t>36M</t>
  </si>
  <si>
    <t>CIP Formula: Implied_TWD = (F/S × (1+r_USD)^(1/n))^n − 1
Where F=NDF outright, S=Spot, r_USD=US yield, n=periods per year</t>
  </si>
  <si>
    <t>NDF Point Conversion (Support)</t>
  </si>
  <si>
    <t>Fwd Pts</t>
  </si>
  <si>
    <t>Outright</t>
  </si>
  <si>
    <t>Cross-Check</t>
  </si>
  <si>
    <t>Spread</t>
  </si>
  <si>
    <t>24M NDF</t>
  </si>
  <si>
    <t>36M NDF</t>
  </si>
  <si>
    <t>CB MONITOR — Convertible Bond Analysis (10 Bonds)</t>
  </si>
  <si>
    <t>USDTWD Spot:</t>
  </si>
  <si>
    <t>Adj Factor:</t>
  </si>
  <si>
    <t>FX Impact:</t>
  </si>
  <si>
    <t>Bond</t>
  </si>
  <si>
    <t>Fixed Rate</t>
  </si>
  <si>
    <t>USDTWD</t>
  </si>
  <si>
    <t>TWD Bid</t>
  </si>
  <si>
    <t>USD Line</t>
  </si>
  <si>
    <t>Adj Bid</t>
  </si>
  <si>
    <t>Parity</t>
  </si>
  <si>
    <t>Delta %</t>
  </si>
  <si>
    <t>Stock %</t>
  </si>
  <si>
    <t>TWD Nuke</t>
  </si>
  <si>
    <t>FX Imp</t>
  </si>
  <si>
    <t>Net Imp</t>
  </si>
  <si>
    <t>New Quanta</t>
  </si>
  <si>
    <t>HH29</t>
  </si>
  <si>
    <t>Quanta 29</t>
  </si>
  <si>
    <t>Wiwynn</t>
  </si>
  <si>
    <t>Novatek</t>
  </si>
  <si>
    <t>Wistron</t>
  </si>
  <si>
    <t>TCC28</t>
  </si>
  <si>
    <t>Nuvoton</t>
  </si>
  <si>
    <t>WT</t>
  </si>
  <si>
    <t>Vanguard</t>
  </si>
  <si>
    <t>Formula Reference</t>
  </si>
  <si>
    <t>Hardcoded from CB term sheet (locked FX at issuance)</t>
  </si>
  <si>
    <t>USD Line Bid</t>
  </si>
  <si>
    <t>Adjusted Bid</t>
  </si>
  <si>
    <t>FX Impact</t>
  </si>
  <si>
    <t>Net Impact</t>
  </si>
  <si>
    <t>SWAP PRICING &amp; OUTRIGHT BIDS</t>
  </si>
  <si>
    <t>Ref Bid</t>
  </si>
  <si>
    <t>Stk Ret%</t>
  </si>
  <si>
    <t>Delta</t>
  </si>
  <si>
    <t>Swap Bid</t>
  </si>
  <si>
    <t>B-O Sprd</t>
  </si>
  <si>
    <t>Swap Offer</t>
  </si>
  <si>
    <t>NDF Ref</t>
  </si>
  <si>
    <t>NDF Chg%</t>
  </si>
  <si>
    <t>Stk Sprd</t>
  </si>
  <si>
    <t>Out Bid</t>
  </si>
  <si>
    <t>Out Offer</t>
  </si>
  <si>
    <t>Bid-Offer Spread Lookup (for XLOOKUP)</t>
  </si>
  <si>
    <t>Key Formulas</t>
  </si>
  <si>
    <t>Stock Spread</t>
  </si>
  <si>
    <t>Outright Bid</t>
  </si>
  <si>
    <t>Outright Offer</t>
  </si>
  <si>
    <t>INVENTORY, EQRMS, ALLQ &amp; SOURCE SELECTION</t>
  </si>
  <si>
    <t>ISIN</t>
  </si>
  <si>
    <t>Inventory</t>
  </si>
  <si>
    <t>ALLQ Bid</t>
  </si>
  <si>
    <t>ALLQ Ask</t>
  </si>
  <si>
    <t>Best Source</t>
  </si>
  <si>
    <t>Stamp</t>
  </si>
  <si>
    <t>XS3184844226</t>
  </si>
  <si>
    <t>BVAL:3:45PM</t>
  </si>
  <si>
    <t>HH29 IC1</t>
  </si>
  <si>
    <t>BGN:3:30PM</t>
  </si>
  <si>
    <t>XS2894149595</t>
  </si>
  <si>
    <t>BVAL:3:42PM</t>
  </si>
  <si>
    <t>Wiwynn IC1</t>
  </si>
  <si>
    <t>NXSE:3:50PM</t>
  </si>
  <si>
    <t>Novatek IC1</t>
  </si>
  <si>
    <t>BGN:3:35PM</t>
  </si>
  <si>
    <t>XS3202703834</t>
  </si>
  <si>
    <t>BVAL:3:48PM</t>
  </si>
  <si>
    <t>TCC28 IC1</t>
  </si>
  <si>
    <t>JEV:2:15PM</t>
  </si>
  <si>
    <t>XS2972955608</t>
  </si>
  <si>
    <t>BVAL:3:44PM</t>
  </si>
  <si>
    <t>XS3224207657</t>
  </si>
  <si>
    <t>BGN:3:38PM</t>
  </si>
  <si>
    <t>XS3275877143</t>
  </si>
  <si>
    <t>BVAL:3:46PM</t>
  </si>
  <si>
    <t>LET Formula — Multi-Source Freshness Selection (Formula 65)</t>
  </si>
  <si>
    <t>Step 1</t>
  </si>
  <si>
    <t>sources = {"BVAL","BGN","NXSE","JEV","WDRL","BRDU","CPR"}</t>
  </si>
  <si>
    <t>Step 2</t>
  </si>
  <si>
    <t>security_string = ISIN&amp;"@"&amp;sources&amp;" ISIN" → builds 7 ALLQ tickers</t>
  </si>
  <si>
    <t>Step 3</t>
  </si>
  <si>
    <t>bdp_text_values = IFERROR(BDP(security_string,"LAST_UPDATE_BID"),"ERR")</t>
  </si>
  <si>
    <t>Step 4</t>
  </si>
  <si>
    <t>numeric_values = IFERROR(-bdp_text_values, -1) → convert to numbers</t>
  </si>
  <si>
    <t>Step 5</t>
  </si>
  <si>
    <t>normalized_dates = IF(val&lt;1, val+TODAY(), val) → handle time-only</t>
  </si>
  <si>
    <t>Step 6</t>
  </si>
  <si>
    <t>latest_index = MATCH(TRUE, dates=MAX(dates), 0) → find freshest</t>
  </si>
  <si>
    <t>Step 7</t>
  </si>
  <si>
    <t>OUTPUT: source_name &amp; ":" &amp; formatted_time (e.g. "BVAL:3:45 PM")</t>
  </si>
  <si>
    <t>T-1 COMPARISON &amp; CB NUKE BID</t>
  </si>
  <si>
    <t>T-1 Bid</t>
  </si>
  <si>
    <t>Actual Δ</t>
  </si>
  <si>
    <t>Explained</t>
  </si>
  <si>
    <t>Residual</t>
  </si>
  <si>
    <t>Stk Input</t>
  </si>
  <si>
    <t>FX Input</t>
  </si>
  <si>
    <t>Stk Move%</t>
  </si>
  <si>
    <t>FX Move%</t>
  </si>
  <si>
    <t>Nuke Bid</t>
  </si>
  <si>
    <t>Stock Move%</t>
  </si>
  <si>
    <t>CB Nuke Bid</t>
  </si>
  <si>
    <t>BOND FLOOR / PUT VALUE CALCULATIONS</t>
  </si>
  <si>
    <t>TCC28 — Bond Floor Calculation</t>
  </si>
  <si>
    <t>Parameter</t>
  </si>
  <si>
    <t>To Put</t>
  </si>
  <si>
    <t>To Maturity</t>
  </si>
  <si>
    <t>Put/Redemption Price</t>
  </si>
  <si>
    <t>SOFR Rate (%)</t>
  </si>
  <si>
    <t>Credit Spread (%)</t>
  </si>
  <si>
    <t>Discount Factor</t>
  </si>
  <si>
    <t>PV (Bond Floor)</t>
  </si>
  <si>
    <t>Blended BF</t>
  </si>
  <si>
    <t>HH29 — Bond Floor Calculation</t>
  </si>
  <si>
    <t>Novatek — Bond Floor Calculation</t>
  </si>
  <si>
    <t>Wiwynn — Bond Floor Calculation</t>
  </si>
  <si>
    <t>REFERENCE DATA — Holidays, CB Types, IV Table</t>
  </si>
  <si>
    <t>Taiwan Public Holidays ($AP$3:$AP$22)</t>
  </si>
  <si>
    <t>Date</t>
  </si>
  <si>
    <t>Holiday</t>
  </si>
  <si>
    <t>Serial #</t>
  </si>
  <si>
    <t>2025-01-01</t>
  </si>
  <si>
    <t>New Year's Day</t>
  </si>
  <si>
    <t>2025-01-23</t>
  </si>
  <si>
    <t>Lunar New Year</t>
  </si>
  <si>
    <t>2025-01-24</t>
  </si>
  <si>
    <t>2025-01-26</t>
  </si>
  <si>
    <t>2025-01-27</t>
  </si>
  <si>
    <t>2025-01-28</t>
  </si>
  <si>
    <t>2025-01-29</t>
  </si>
  <si>
    <t>2025-01-30</t>
  </si>
  <si>
    <t>2025-01-31</t>
  </si>
  <si>
    <t>2025-02-28</t>
  </si>
  <si>
    <t>Peace Memorial Day</t>
  </si>
  <si>
    <t>2025-04-03</t>
  </si>
  <si>
    <t>Ching Ming Festival</t>
  </si>
  <si>
    <t>2025-04-04</t>
  </si>
  <si>
    <t>Children's Day</t>
  </si>
  <si>
    <t>2025-05-01</t>
  </si>
  <si>
    <t>Labour Day</t>
  </si>
  <si>
    <t>2025-05-30</t>
  </si>
  <si>
    <t>Dragon Boat Festival</t>
  </si>
  <si>
    <t>2025-05-31</t>
  </si>
  <si>
    <t>Dragon Boat Day</t>
  </si>
  <si>
    <t>2025-10-06</t>
  </si>
  <si>
    <t>Mid-Autumn Festival</t>
  </si>
  <si>
    <t>2025-10-10</t>
  </si>
  <si>
    <t>National Day</t>
  </si>
  <si>
    <t>CB Type Classification &amp; Rho Sensitivity</t>
  </si>
  <si>
    <t>CB Type</t>
  </si>
  <si>
    <t>Example</t>
  </si>
  <si>
    <t>BF Calc</t>
  </si>
  <si>
    <t>Rho to Local</t>
  </si>
  <si>
    <t>Rho to US</t>
  </si>
  <si>
    <t>Key Point</t>
  </si>
  <si>
    <t>Compo CB</t>
  </si>
  <si>
    <t>SK hynix</t>
  </si>
  <si>
    <t>USD curve</t>
  </si>
  <si>
    <t>Short (indirect)</t>
  </si>
  <si>
    <t>Short (direct)</t>
  </si>
  <si>
    <t>Pure USD bond floor; FX risk on parity only</t>
  </si>
  <si>
    <t>Flexi CB</t>
  </si>
  <si>
    <t>ASE Tech</t>
  </si>
  <si>
    <t>~Zero</t>
  </si>
  <si>
    <t>FX flex offsets USD discounting</t>
  </si>
  <si>
    <t>Currency Linked</t>
  </si>
  <si>
    <t>Hon Hai 29</t>
  </si>
  <si>
    <t>Redemption = Notional × FX_issue / FX_maturity</t>
  </si>
  <si>
    <t>Implied Volatility (IV) Reference</t>
  </si>
  <si>
    <t>IV (1)</t>
  </si>
  <si>
    <t>IV (2)</t>
  </si>
  <si>
    <t>IV (3)</t>
  </si>
  <si>
    <t>Quanta 30</t>
  </si>
  <si>
    <t>NDF Hedging Cost Reference</t>
  </si>
  <si>
    <t>Bid-Offer Spread</t>
  </si>
  <si>
    <t>40 bps wide</t>
  </si>
  <si>
    <t>15–20 bps wide</t>
  </si>
  <si>
    <t>10–15 bps wide</t>
  </si>
  <si>
    <t>Bond Master List</t>
  </si>
  <si>
    <t>Underlying</t>
  </si>
  <si>
    <t>Type</t>
  </si>
  <si>
    <t>2382 TT</t>
  </si>
  <si>
    <t>Compo</t>
  </si>
  <si>
    <t>2317 TT</t>
  </si>
  <si>
    <t>6669 TT</t>
  </si>
  <si>
    <t>3034 TT</t>
  </si>
  <si>
    <t>D498 TT</t>
  </si>
  <si>
    <t>1101 TT</t>
  </si>
  <si>
    <t>4919 TT</t>
  </si>
  <si>
    <t>3036 TT</t>
  </si>
  <si>
    <t>5347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</si>
</sst>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0"/>
    <numFmt numFmtId="166" formatCode="0.00000"/>
    <numFmt numFmtId="167" formatCode="0.000"/>
    <numFmt numFmtId="168" formatCode="0.0"/>
    <numFmt numFmtId="169" formatCode="#,##0.0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name val="Calibri"/>
    </font>
    <font>
      <sz val="10"/>
      <name val="Calibri"/>
    </font>
    <font>
      <i/>
      <sz val="9"/>
      <color rgb="FF808080"/>
      <name val="Calibri"/>
    </font>
    <font>
      <sz val="10"/>
      <color rgb="FFC00000"/>
      <name val="Consolas"/>
    </font>
    <font>
      <b/>
      <sz val="10"/>
      <color rgb="FFFFFFF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808080"/>
      </patternFill>
    </fill>
    <fill>
      <patternFill patternType="solid">
        <fgColor rgb="FF7030A0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375623"/>
      </patternFill>
    </fill>
    <fill>
      <patternFill patternType="solid">
        <fgColor rgb="FF8B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right" vertical="center"/>
    </xf>
    <xf numFmtId="166" fontId="3" fillId="4" borderId="1" xfId="0" applyNumberFormat="1" applyFont="1" applyFill="1" applyBorder="1" applyAlignment="1">
      <alignment horizontal="right" vertical="center"/>
    </xf>
    <xf numFmtId="2" fontId="3" fillId="4" borderId="1" xfId="0" applyNumberFormat="1" applyFont="1" applyFill="1" applyBorder="1" applyAlignment="1">
      <alignment horizontal="right" vertical="center"/>
    </xf>
    <xf numFmtId="10" fontId="3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right" vertical="center"/>
    </xf>
    <xf numFmtId="2" fontId="3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 wrapText="1"/>
    </xf>
    <xf numFmtId="167" fontId="3" fillId="4" borderId="1" xfId="0" applyNumberFormat="1" applyFont="1" applyFill="1" applyBorder="1" applyAlignment="1">
      <alignment horizontal="right" vertical="center"/>
    </xf>
    <xf numFmtId="168" fontId="3" fillId="4" borderId="1" xfId="0" applyNumberFormat="1" applyFont="1" applyFill="1" applyBorder="1" applyAlignment="1">
      <alignment horizontal="right" vertical="center"/>
    </xf>
    <xf numFmtId="1" fontId="3" fillId="4" borderId="1" xfId="0" applyNumberFormat="1" applyFont="1" applyFill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168" fontId="3" fillId="0" borderId="1" xfId="0" applyNumberFormat="1" applyFont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0" fontId="6" fillId="8" borderId="1" xfId="0" applyFont="1" applyFill="1" applyBorder="1" applyAlignment="1">
      <alignment horizontal="center" vertical="center" wrapText="1"/>
    </xf>
    <xf numFmtId="2" fontId="2" fillId="9" borderId="1" xfId="0" applyNumberFormat="1" applyFont="1" applyFill="1" applyBorder="1" applyAlignment="1">
      <alignment horizontal="right" vertical="center"/>
    </xf>
    <xf numFmtId="2" fontId="2" fillId="10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3" fontId="3" fillId="4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6" fillId="12" borderId="1" xfId="0" applyFont="1" applyFill="1" applyBorder="1" applyAlignment="1">
      <alignment horizontal="center" vertical="center" wrapText="1"/>
    </xf>
    <xf numFmtId="169" fontId="3" fillId="4" borderId="1" xfId="0" applyNumberFormat="1" applyFont="1" applyFill="1" applyBorder="1" applyAlignment="1">
      <alignment horizontal="right" vertical="center"/>
    </xf>
    <xf numFmtId="169" fontId="3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right" vertical="center"/>
    </xf>
    <xf numFmtId="0" fontId="2" fillId="9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/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QRM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RM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N25"/>
  <sheetViews>
    <sheetView showGridLines="0" tabSelected="1" zoomScale="160" zoomScaleNormal="160" workbookViewId="0">
      <pane ySplit="3" topLeftCell="A4" activePane="bottomLeft" state="frozen"/>
      <selection pane="bottomLeft" activeCell="O9" sqref="O9"/>
    </sheetView>
  </sheetViews>
  <sheetFormatPr defaultRowHeight="15" x14ac:dyDescent="0.25"/>
  <cols>
    <col min="1" max="1" width="3" customWidth="1"/>
    <col min="2" max="2" width="14" customWidth="1"/>
    <col min="3" max="4" width="12" customWidth="1"/>
    <col min="5" max="6" width="10" customWidth="1"/>
    <col min="7" max="7" width="8" customWidth="1"/>
    <col min="8" max="8" width="2" customWidth="1"/>
    <col min="9" max="9" width="10" customWidth="1"/>
    <col min="10" max="14" width="12" customWidth="1"/>
  </cols>
  <sheetData>
    <row r="1" spans="1:14" ht="27.95" customHeight="1" x14ac:dyDescent="0.25">
      <c r="A1" s="52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x14ac:dyDescent="0.25">
      <c r="B2" s="1" t="s">
        <v>1</v>
      </c>
      <c r="C2" s="2" t="s">
        <v>2</v>
      </c>
      <c r="D2" s="3" t="s">
        <v>3</v>
      </c>
      <c r="E2" s="4">
        <f ca="1">TODAY()</f>
        <v>46091</v>
      </c>
      <c r="F2" s="1" t="s">
        <v>4</v>
      </c>
      <c r="G2" s="2">
        <v>1</v>
      </c>
    </row>
    <row r="3" spans="1:14" x14ac:dyDescent="0.25">
      <c r="B3" s="1" t="s">
        <v>5</v>
      </c>
      <c r="C3" s="5" t="s">
        <v>6</v>
      </c>
      <c r="D3" s="3" t="s">
        <v>3</v>
      </c>
      <c r="E3" s="4" t="e">
        <f>WORKDAY(D1,-1,$AP$3:$AP$22)</f>
        <v>#NUM!</v>
      </c>
    </row>
    <row r="5" spans="1:14" x14ac:dyDescent="0.25">
      <c r="B5" s="50" t="s">
        <v>7</v>
      </c>
      <c r="C5" s="49"/>
      <c r="D5" s="49"/>
      <c r="E5" s="49"/>
      <c r="F5" s="49"/>
      <c r="G5" s="49"/>
    </row>
    <row r="6" spans="1:14" x14ac:dyDescent="0.25">
      <c r="B6" s="6"/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</row>
    <row r="7" spans="1:14" x14ac:dyDescent="0.25">
      <c r="B7" s="1" t="s">
        <v>13</v>
      </c>
      <c r="C7" s="7">
        <v>32.549999999999997</v>
      </c>
      <c r="D7" s="7">
        <v>32.479999999999997</v>
      </c>
      <c r="E7" s="8">
        <v>-2.155172413793149E-3</v>
      </c>
      <c r="F7" s="9"/>
      <c r="G7" s="4" t="e">
        <f ca="1">BDP("USDTWD CURNCY","LAST PRICE")</f>
        <v>#NAME?</v>
      </c>
    </row>
    <row r="8" spans="1:14" x14ac:dyDescent="0.25">
      <c r="B8" s="1" t="s">
        <v>14</v>
      </c>
      <c r="C8" s="7">
        <v>32.72</v>
      </c>
      <c r="D8" s="7">
        <v>32.65</v>
      </c>
      <c r="E8" s="8">
        <v>-2.143950995405763E-3</v>
      </c>
      <c r="F8" s="9"/>
      <c r="G8" s="4"/>
    </row>
    <row r="9" spans="1:14" ht="38.25" x14ac:dyDescent="0.25">
      <c r="B9" s="1" t="s">
        <v>15</v>
      </c>
      <c r="C9" s="7">
        <v>33.1</v>
      </c>
      <c r="D9" s="7">
        <v>33.020000000000003</v>
      </c>
      <c r="E9" s="8">
        <v>-2.4227740763174128E-3</v>
      </c>
      <c r="F9" s="10">
        <v>-1.2819012206843891E-4</v>
      </c>
      <c r="G9" s="4" t="s">
        <v>16</v>
      </c>
    </row>
    <row r="11" spans="1:14" x14ac:dyDescent="0.25">
      <c r="B11" s="50" t="s">
        <v>17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14" ht="25.5" x14ac:dyDescent="0.25">
      <c r="B12" s="6" t="s">
        <v>18</v>
      </c>
      <c r="C12" s="6" t="s">
        <v>19</v>
      </c>
      <c r="D12" s="6" t="s">
        <v>20</v>
      </c>
      <c r="E12" s="6" t="s">
        <v>21</v>
      </c>
      <c r="F12" s="6" t="s">
        <v>22</v>
      </c>
      <c r="G12" s="6" t="s">
        <v>23</v>
      </c>
      <c r="H12" s="11"/>
      <c r="I12" s="11"/>
      <c r="J12" s="11"/>
      <c r="K12" s="11"/>
      <c r="L12" s="11"/>
      <c r="M12" s="11"/>
      <c r="N12" s="11"/>
    </row>
    <row r="13" spans="1:14" x14ac:dyDescent="0.25">
      <c r="B13" s="12" t="s">
        <v>24</v>
      </c>
      <c r="C13" s="13">
        <v>32.58</v>
      </c>
      <c r="D13" s="14">
        <v>1.0009216589861749</v>
      </c>
      <c r="E13" s="15">
        <v>5.32</v>
      </c>
      <c r="F13" s="16">
        <v>6.4907523366880548E-2</v>
      </c>
      <c r="G13" s="17" t="e">
        <f ca="1">BXFORWARD("USDTWD","1M","MIDOUTRIGHT","MarketType=NDF")</f>
        <v>#NAME?</v>
      </c>
    </row>
    <row r="14" spans="1:14" x14ac:dyDescent="0.25">
      <c r="B14" s="18" t="s">
        <v>25</v>
      </c>
      <c r="C14" s="7">
        <v>32.72</v>
      </c>
      <c r="D14" s="19">
        <v>1.005222734254992</v>
      </c>
      <c r="E14" s="20">
        <v>5.28</v>
      </c>
      <c r="F14" s="8">
        <v>7.4966882263991952E-2</v>
      </c>
      <c r="G14" s="4" t="e">
        <f ca="1">BXFORWARD("USDTWD","3M","MIDOUTRIGHT","MarketType=NDF")</f>
        <v>#NAME?</v>
      </c>
    </row>
    <row r="15" spans="1:14" x14ac:dyDescent="0.25">
      <c r="B15" s="12" t="s">
        <v>26</v>
      </c>
      <c r="C15" s="13">
        <v>33.1</v>
      </c>
      <c r="D15" s="14">
        <v>1.016897081413211</v>
      </c>
      <c r="E15" s="15">
        <v>4.8499999999999996</v>
      </c>
      <c r="F15" s="16">
        <v>6.6216589861751274E-2</v>
      </c>
      <c r="G15" s="17" t="e">
        <f ca="1">BXFORWARD("USDTWD","12M","MIDOUTRIGHT","MarketType=NDF")</f>
        <v>#NAME?</v>
      </c>
    </row>
    <row r="16" spans="1:14" x14ac:dyDescent="0.25">
      <c r="B16" s="18" t="s">
        <v>27</v>
      </c>
      <c r="C16" s="7">
        <v>33.75</v>
      </c>
      <c r="D16" s="19">
        <v>1.0368663594470049</v>
      </c>
      <c r="E16" s="20">
        <v>4.42</v>
      </c>
      <c r="F16" s="8">
        <v>6.3273722621127293E-2</v>
      </c>
      <c r="G16" s="4" t="e">
        <f ca="1">BXFORWARD("USDTWD","24M","MIDOUTRIGHT","MarketType=NDF")</f>
        <v>#NAME?</v>
      </c>
    </row>
    <row r="17" spans="2:7" x14ac:dyDescent="0.25">
      <c r="B17" s="12" t="s">
        <v>28</v>
      </c>
      <c r="C17" s="13">
        <v>34.450000000000003</v>
      </c>
      <c r="D17" s="14">
        <v>1.0583717357910909</v>
      </c>
      <c r="E17" s="15">
        <v>4.25</v>
      </c>
      <c r="F17" s="16">
        <v>6.2401825083459483E-2</v>
      </c>
      <c r="G17" s="17" t="e">
        <f ca="1">BXFORWARD("USDTWD","36M","MIDOUTRIGHT","MarketType=NDF")</f>
        <v>#NAME?</v>
      </c>
    </row>
    <row r="19" spans="2:7" x14ac:dyDescent="0.25">
      <c r="B19" s="48" t="s">
        <v>29</v>
      </c>
      <c r="C19" s="49"/>
      <c r="D19" s="49"/>
      <c r="E19" s="49"/>
      <c r="F19" s="49"/>
      <c r="G19" s="49"/>
    </row>
    <row r="20" spans="2:7" x14ac:dyDescent="0.25">
      <c r="B20" s="49"/>
      <c r="C20" s="49"/>
      <c r="D20" s="49"/>
      <c r="E20" s="49"/>
      <c r="F20" s="49"/>
      <c r="G20" s="49"/>
    </row>
    <row r="22" spans="2:7" x14ac:dyDescent="0.25">
      <c r="B22" s="51" t="s">
        <v>30</v>
      </c>
      <c r="C22" s="49"/>
      <c r="D22" s="49"/>
      <c r="E22" s="49"/>
      <c r="F22" s="49"/>
      <c r="G22" s="49"/>
    </row>
    <row r="23" spans="2:7" ht="25.5" x14ac:dyDescent="0.25">
      <c r="B23" s="21"/>
      <c r="C23" s="21" t="s">
        <v>31</v>
      </c>
      <c r="D23" s="21" t="s">
        <v>32</v>
      </c>
      <c r="E23" s="21" t="s">
        <v>33</v>
      </c>
      <c r="F23" s="21" t="s">
        <v>34</v>
      </c>
      <c r="G23" s="21" t="s">
        <v>12</v>
      </c>
    </row>
    <row r="24" spans="2:7" x14ac:dyDescent="0.25">
      <c r="B24" s="1" t="s">
        <v>35</v>
      </c>
      <c r="C24" s="9">
        <v>1200</v>
      </c>
      <c r="D24" s="7">
        <v>33.75</v>
      </c>
      <c r="E24" s="19">
        <v>1.0368663594470049</v>
      </c>
      <c r="G24" s="4">
        <f>B4+F9/1000</f>
        <v>-1.2819012206843892E-7</v>
      </c>
    </row>
    <row r="25" spans="2:7" x14ac:dyDescent="0.25">
      <c r="B25" s="1" t="s">
        <v>36</v>
      </c>
      <c r="C25" s="9">
        <v>1900</v>
      </c>
      <c r="D25" s="7">
        <v>34.450000000000003</v>
      </c>
      <c r="E25" s="19">
        <v>1.0583717357910909</v>
      </c>
      <c r="F25" s="9">
        <v>-700</v>
      </c>
      <c r="G25" s="4">
        <f>B4+H9/1000</f>
        <v>0</v>
      </c>
    </row>
  </sheetData>
  <mergeCells count="5">
    <mergeCell ref="B19:G20"/>
    <mergeCell ref="B5:G5"/>
    <mergeCell ref="B22:G22"/>
    <mergeCell ref="B11:N11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1:M22"/>
  <sheetViews>
    <sheetView showGridLines="0" zoomScale="220" zoomScaleNormal="220" workbookViewId="0">
      <pane xSplit="2" ySplit="3" topLeftCell="C4" activePane="bottomRight" state="frozen"/>
      <selection pane="topRight"/>
      <selection pane="bottomLeft"/>
      <selection pane="bottomRight" activeCell="C22" sqref="C22:M22"/>
    </sheetView>
  </sheetViews>
  <sheetFormatPr defaultRowHeight="15" x14ac:dyDescent="0.25"/>
  <cols>
    <col min="1" max="1" width="3" customWidth="1"/>
    <col min="2" max="2" width="14" customWidth="1"/>
    <col min="3" max="5" width="11" customWidth="1"/>
    <col min="6" max="6" width="9" customWidth="1"/>
    <col min="7" max="7" width="8" customWidth="1"/>
    <col min="8" max="12" width="10" customWidth="1"/>
    <col min="13" max="13" width="20" customWidth="1"/>
  </cols>
  <sheetData>
    <row r="1" spans="1:13" ht="27.95" customHeight="1" x14ac:dyDescent="0.25">
      <c r="A1" s="52" t="s">
        <v>37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 x14ac:dyDescent="0.25">
      <c r="B2" s="1" t="s">
        <v>38</v>
      </c>
      <c r="C2" s="22">
        <v>32.549999999999997</v>
      </c>
      <c r="E2" s="1" t="s">
        <v>39</v>
      </c>
      <c r="F2" s="10">
        <v>-1.2819012206843891E-4</v>
      </c>
      <c r="H2" s="1" t="s">
        <v>40</v>
      </c>
      <c r="I2" s="23">
        <v>-0.2422774076317413</v>
      </c>
    </row>
    <row r="3" spans="1:13" x14ac:dyDescent="0.25"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  <c r="I3" s="6" t="s">
        <v>48</v>
      </c>
      <c r="J3" s="6" t="s">
        <v>49</v>
      </c>
      <c r="K3" s="6" t="s">
        <v>50</v>
      </c>
      <c r="L3" s="6" t="s">
        <v>51</v>
      </c>
      <c r="M3" s="6" t="s">
        <v>52</v>
      </c>
    </row>
    <row r="4" spans="1:13" x14ac:dyDescent="0.25">
      <c r="B4" s="24" t="s">
        <v>53</v>
      </c>
      <c r="C4" s="25">
        <v>30.224</v>
      </c>
      <c r="D4" s="25">
        <v>32.549999999999997</v>
      </c>
      <c r="E4" s="15">
        <v>113.5</v>
      </c>
      <c r="F4" s="15">
        <v>105.38937019969281</v>
      </c>
      <c r="G4" s="15">
        <v>105.4021892118996</v>
      </c>
      <c r="H4" s="26">
        <v>89.2</v>
      </c>
      <c r="I4" s="27">
        <v>44</v>
      </c>
      <c r="J4" s="26">
        <v>-1.2</v>
      </c>
      <c r="K4" s="15">
        <v>-0.47097600000000001</v>
      </c>
      <c r="L4" s="15">
        <v>-0.2422774076317413</v>
      </c>
      <c r="M4" s="15">
        <v>-0.71325340763174139</v>
      </c>
    </row>
    <row r="5" spans="1:13" x14ac:dyDescent="0.25">
      <c r="B5" s="1" t="s">
        <v>54</v>
      </c>
      <c r="C5" s="28">
        <v>32.186</v>
      </c>
      <c r="D5" s="28">
        <v>32.549999999999997</v>
      </c>
      <c r="E5" s="20">
        <v>103.2</v>
      </c>
      <c r="F5" s="20">
        <v>102.04593548387101</v>
      </c>
      <c r="G5" s="20">
        <v>102.0587544960778</v>
      </c>
      <c r="H5" s="29">
        <v>82.5</v>
      </c>
      <c r="I5" s="30">
        <v>35</v>
      </c>
      <c r="J5" s="29">
        <v>0.8</v>
      </c>
      <c r="K5" s="20">
        <v>0.23100000000000001</v>
      </c>
      <c r="L5" s="20">
        <v>-0.2422774076317413</v>
      </c>
      <c r="M5" s="20">
        <v>-1.127740763174132E-2</v>
      </c>
    </row>
    <row r="6" spans="1:13" x14ac:dyDescent="0.25">
      <c r="B6" s="24" t="s">
        <v>55</v>
      </c>
      <c r="C6" s="25">
        <v>32.055</v>
      </c>
      <c r="D6" s="25">
        <v>32.549999999999997</v>
      </c>
      <c r="E6" s="15">
        <v>106.8</v>
      </c>
      <c r="F6" s="15">
        <v>105.1758525345622</v>
      </c>
      <c r="G6" s="15">
        <v>105.1886715467691</v>
      </c>
      <c r="H6" s="26">
        <v>86.7</v>
      </c>
      <c r="I6" s="27">
        <v>40</v>
      </c>
      <c r="J6" s="26">
        <v>-0.5</v>
      </c>
      <c r="K6" s="15">
        <v>-0.1734</v>
      </c>
      <c r="L6" s="15">
        <v>-0.2422774076317413</v>
      </c>
      <c r="M6" s="15">
        <v>-0.41567740763174132</v>
      </c>
    </row>
    <row r="7" spans="1:13" x14ac:dyDescent="0.25">
      <c r="B7" s="1" t="s">
        <v>56</v>
      </c>
      <c r="C7" s="28">
        <v>32.576000000000001</v>
      </c>
      <c r="D7" s="28">
        <v>32.549999999999997</v>
      </c>
      <c r="E7" s="20">
        <v>118.9</v>
      </c>
      <c r="F7" s="20">
        <v>118.99497388632879</v>
      </c>
      <c r="G7" s="20">
        <v>119.0077928985356</v>
      </c>
      <c r="H7" s="29">
        <v>112.3</v>
      </c>
      <c r="I7" s="30">
        <v>68</v>
      </c>
      <c r="J7" s="29">
        <v>2.1</v>
      </c>
      <c r="K7" s="20">
        <v>1.6036440000000001</v>
      </c>
      <c r="L7" s="20">
        <v>-0.2422774076317413</v>
      </c>
      <c r="M7" s="20">
        <v>1.361366592368259</v>
      </c>
    </row>
    <row r="8" spans="1:13" x14ac:dyDescent="0.25">
      <c r="B8" s="24" t="s">
        <v>57</v>
      </c>
      <c r="C8" s="25">
        <v>27.902000000000001</v>
      </c>
      <c r="D8" s="25">
        <v>32.549999999999997</v>
      </c>
      <c r="E8" s="15">
        <v>98.6</v>
      </c>
      <c r="F8" s="15">
        <v>84.52034408602151</v>
      </c>
      <c r="G8" s="15">
        <v>84.533163098228357</v>
      </c>
      <c r="H8" s="26">
        <v>75.400000000000006</v>
      </c>
      <c r="I8" s="27">
        <v>31</v>
      </c>
      <c r="J8" s="26">
        <v>-0.3</v>
      </c>
      <c r="K8" s="15">
        <v>-7.0122000000000004E-2</v>
      </c>
      <c r="L8" s="15">
        <v>-0.2422774076317413</v>
      </c>
      <c r="M8" s="15">
        <v>-0.31239940763174129</v>
      </c>
    </row>
    <row r="9" spans="1:13" x14ac:dyDescent="0.25">
      <c r="B9" s="1" t="s">
        <v>58</v>
      </c>
      <c r="C9" s="28">
        <v>30.629000000000001</v>
      </c>
      <c r="D9" s="28">
        <v>32.549999999999997</v>
      </c>
      <c r="E9" s="20">
        <v>108.3</v>
      </c>
      <c r="F9" s="20">
        <v>101.908470046083</v>
      </c>
      <c r="G9" s="20">
        <v>101.9212890582898</v>
      </c>
      <c r="H9" s="29">
        <v>95.1</v>
      </c>
      <c r="I9" s="30">
        <v>48</v>
      </c>
      <c r="J9" s="29">
        <v>0.6</v>
      </c>
      <c r="K9" s="20">
        <v>0.27388800000000002</v>
      </c>
      <c r="L9" s="20">
        <v>-0.2422774076317413</v>
      </c>
      <c r="M9" s="20">
        <v>3.1610592368258687E-2</v>
      </c>
    </row>
    <row r="10" spans="1:13" x14ac:dyDescent="0.25">
      <c r="B10" s="24" t="s">
        <v>59</v>
      </c>
      <c r="C10" s="25">
        <v>32.292999999999999</v>
      </c>
      <c r="D10" s="25">
        <v>32.549999999999997</v>
      </c>
      <c r="E10" s="15">
        <v>99.2</v>
      </c>
      <c r="F10" s="15">
        <v>98.416761904761913</v>
      </c>
      <c r="G10" s="15">
        <v>98.42958091696876</v>
      </c>
      <c r="H10" s="26">
        <v>52.3</v>
      </c>
      <c r="I10" s="27">
        <v>4</v>
      </c>
      <c r="J10" s="26">
        <v>-0.1</v>
      </c>
      <c r="K10" s="15">
        <v>-2.0920000000000001E-3</v>
      </c>
      <c r="L10" s="15">
        <v>-0.2422774076317413</v>
      </c>
      <c r="M10" s="15">
        <v>-0.24436940763174131</v>
      </c>
    </row>
    <row r="11" spans="1:13" x14ac:dyDescent="0.25">
      <c r="B11" s="1" t="s">
        <v>60</v>
      </c>
      <c r="C11" s="28">
        <v>32.917000000000002</v>
      </c>
      <c r="D11" s="28">
        <v>32.549999999999997</v>
      </c>
      <c r="E11" s="20">
        <v>107.5</v>
      </c>
      <c r="F11" s="20">
        <v>108.71205837173579</v>
      </c>
      <c r="G11" s="20">
        <v>108.7248773839427</v>
      </c>
      <c r="H11" s="29">
        <v>88.6</v>
      </c>
      <c r="I11" s="30">
        <v>45</v>
      </c>
      <c r="J11" s="29">
        <v>1.5</v>
      </c>
      <c r="K11" s="20">
        <v>0.59804999999999986</v>
      </c>
      <c r="L11" s="20">
        <v>-0.2422774076317413</v>
      </c>
      <c r="M11" s="20">
        <v>0.35577259236825848</v>
      </c>
    </row>
    <row r="12" spans="1:13" x14ac:dyDescent="0.25">
      <c r="B12" s="24" t="s">
        <v>61</v>
      </c>
      <c r="C12" s="25">
        <v>31.155000000000001</v>
      </c>
      <c r="D12" s="25">
        <v>32.549999999999997</v>
      </c>
      <c r="E12" s="15">
        <v>115.2</v>
      </c>
      <c r="F12" s="15">
        <v>110.2628571428572</v>
      </c>
      <c r="G12" s="15">
        <v>110.27567615506401</v>
      </c>
      <c r="H12" s="26">
        <v>105.8</v>
      </c>
      <c r="I12" s="27">
        <v>66</v>
      </c>
      <c r="J12" s="26">
        <v>-0.8</v>
      </c>
      <c r="K12" s="15">
        <v>-0.55862400000000001</v>
      </c>
      <c r="L12" s="15">
        <v>-0.2422774076317413</v>
      </c>
      <c r="M12" s="15">
        <v>-0.80090140763174134</v>
      </c>
    </row>
    <row r="13" spans="1:13" x14ac:dyDescent="0.25">
      <c r="B13" s="1" t="s">
        <v>62</v>
      </c>
      <c r="C13" s="28">
        <v>31.324999999999999</v>
      </c>
      <c r="D13" s="28">
        <v>32.549999999999997</v>
      </c>
      <c r="E13" s="20">
        <v>122</v>
      </c>
      <c r="F13" s="20">
        <v>117.4086021505376</v>
      </c>
      <c r="G13" s="20">
        <v>117.42142116274449</v>
      </c>
      <c r="H13" s="29">
        <v>118.5</v>
      </c>
      <c r="I13" s="30">
        <v>75</v>
      </c>
      <c r="J13" s="29">
        <v>1.8</v>
      </c>
      <c r="K13" s="20">
        <v>1.59975</v>
      </c>
      <c r="L13" s="20">
        <v>-0.2422774076317413</v>
      </c>
      <c r="M13" s="20">
        <v>1.3574725923682589</v>
      </c>
    </row>
    <row r="15" spans="1:13" x14ac:dyDescent="0.25">
      <c r="B15" s="51" t="s">
        <v>63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</row>
    <row r="16" spans="1:13" x14ac:dyDescent="0.25">
      <c r="B16" s="1" t="s">
        <v>42</v>
      </c>
      <c r="C16" s="53" t="s">
        <v>64</v>
      </c>
      <c r="D16" s="49"/>
      <c r="E16" s="49"/>
      <c r="F16" s="49"/>
      <c r="G16" s="49"/>
      <c r="H16" s="49"/>
      <c r="I16" s="49"/>
      <c r="J16" s="49"/>
      <c r="K16" s="49"/>
      <c r="L16" s="49"/>
      <c r="M16" s="49"/>
    </row>
    <row r="17" spans="2:13" x14ac:dyDescent="0.25">
      <c r="B17" s="1" t="s">
        <v>65</v>
      </c>
      <c r="C17" s="53" t="e">
        <f>TWD_Bid / USDTWD_Spot * Fixed_Rate</f>
        <v>#NAME?</v>
      </c>
      <c r="D17" s="49"/>
      <c r="E17" s="49"/>
      <c r="F17" s="49"/>
      <c r="G17" s="49"/>
      <c r="H17" s="49"/>
      <c r="I17" s="49"/>
      <c r="J17" s="49"/>
      <c r="K17" s="49"/>
      <c r="L17" s="49"/>
      <c r="M17" s="49"/>
    </row>
    <row r="18" spans="2:13" x14ac:dyDescent="0.25">
      <c r="B18" s="1" t="s">
        <v>66</v>
      </c>
      <c r="C18" s="53"/>
      <c r="D18" s="49"/>
      <c r="E18" s="49"/>
      <c r="F18" s="49"/>
      <c r="G18" s="49"/>
      <c r="H18" s="49"/>
      <c r="I18" s="49"/>
      <c r="J18" s="49"/>
      <c r="K18" s="49"/>
      <c r="L18" s="49"/>
      <c r="M18" s="49"/>
    </row>
    <row r="19" spans="2:13" x14ac:dyDescent="0.25">
      <c r="B19" s="1" t="s">
        <v>47</v>
      </c>
      <c r="C19" s="53" t="e">
        <f ca="1">BDP(ISIN&amp;" CORP","CV PARITY")</f>
        <v>#NAME?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</row>
    <row r="20" spans="2:13" x14ac:dyDescent="0.25">
      <c r="B20" s="1" t="s">
        <v>50</v>
      </c>
      <c r="C20" s="53" t="e">
        <f>Stock_% * Parity/100 * Delta/100</f>
        <v>#NAME?</v>
      </c>
      <c r="D20" s="49"/>
      <c r="E20" s="49"/>
      <c r="F20" s="49"/>
      <c r="G20" s="49"/>
      <c r="H20" s="49"/>
      <c r="I20" s="49"/>
      <c r="J20" s="49"/>
      <c r="K20" s="49"/>
      <c r="L20" s="49"/>
      <c r="M20" s="49"/>
    </row>
    <row r="21" spans="2:13" x14ac:dyDescent="0.25">
      <c r="B21" s="1" t="s">
        <v>67</v>
      </c>
      <c r="C21" s="53">
        <f>AVERAGE($E$6,$F$6)*$G$2*100</f>
        <v>0</v>
      </c>
      <c r="D21" s="49"/>
      <c r="E21" s="49"/>
      <c r="F21" s="49"/>
      <c r="G21" s="49"/>
      <c r="H21" s="49"/>
      <c r="I21" s="49"/>
      <c r="J21" s="49"/>
      <c r="K21" s="49"/>
      <c r="L21" s="49"/>
      <c r="M21" s="49"/>
    </row>
    <row r="22" spans="2:13" x14ac:dyDescent="0.25">
      <c r="B22" s="1" t="s">
        <v>68</v>
      </c>
      <c r="C22" s="53" t="e">
        <f>TWD_Nuke + FX_Impact</f>
        <v>#NAME?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</row>
  </sheetData>
  <mergeCells count="9">
    <mergeCell ref="C22:M22"/>
    <mergeCell ref="C18:M18"/>
    <mergeCell ref="C17:M17"/>
    <mergeCell ref="B15:M15"/>
    <mergeCell ref="A1:M1"/>
    <mergeCell ref="C20:M20"/>
    <mergeCell ref="C21:M21"/>
    <mergeCell ref="C16:M16"/>
    <mergeCell ref="C19:M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O34"/>
  <sheetViews>
    <sheetView showGridLines="0" workbookViewId="0">
      <pane xSplit="2" ySplit="3" topLeftCell="C4" activePane="bottomRight" state="frozen"/>
      <selection pane="topRight"/>
      <selection pane="bottomLeft"/>
      <selection pane="bottomRight" sqref="A1:O1"/>
    </sheetView>
  </sheetViews>
  <sheetFormatPr defaultRowHeight="15" x14ac:dyDescent="0.25"/>
  <cols>
    <col min="1" max="1" width="3" customWidth="1"/>
    <col min="2" max="2" width="14" customWidth="1"/>
    <col min="3" max="15" width="10" customWidth="1"/>
  </cols>
  <sheetData>
    <row r="1" spans="1:15" ht="27.95" customHeight="1" x14ac:dyDescent="0.25">
      <c r="A1" s="52" t="s">
        <v>69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3" spans="1:15" x14ac:dyDescent="0.25">
      <c r="B3" s="31" t="s">
        <v>41</v>
      </c>
      <c r="C3" s="31" t="s">
        <v>70</v>
      </c>
      <c r="D3" s="31" t="s">
        <v>71</v>
      </c>
      <c r="E3" s="31" t="s">
        <v>47</v>
      </c>
      <c r="F3" s="31" t="s">
        <v>72</v>
      </c>
      <c r="G3" s="31" t="s">
        <v>73</v>
      </c>
      <c r="H3" s="31" t="s">
        <v>74</v>
      </c>
      <c r="I3" s="31" t="s">
        <v>75</v>
      </c>
      <c r="J3" s="31" t="s">
        <v>43</v>
      </c>
      <c r="K3" s="31" t="s">
        <v>76</v>
      </c>
      <c r="L3" s="31" t="s">
        <v>77</v>
      </c>
      <c r="M3" s="31" t="s">
        <v>78</v>
      </c>
      <c r="N3" s="31" t="s">
        <v>79</v>
      </c>
      <c r="O3" s="31" t="s">
        <v>80</v>
      </c>
    </row>
    <row r="4" spans="1:15" x14ac:dyDescent="0.25">
      <c r="B4" s="24" t="s">
        <v>53</v>
      </c>
      <c r="C4" s="15">
        <v>103.88937019969281</v>
      </c>
      <c r="D4" s="16">
        <v>-1.2E-2</v>
      </c>
      <c r="E4" s="26">
        <v>89.2</v>
      </c>
      <c r="F4" s="27">
        <v>44</v>
      </c>
      <c r="G4" s="32">
        <v>103.45</v>
      </c>
      <c r="H4" s="15">
        <v>0.75</v>
      </c>
      <c r="I4" s="33">
        <v>104.2</v>
      </c>
      <c r="J4" s="25">
        <v>32.549999999999997</v>
      </c>
      <c r="K4" s="25">
        <v>33.1</v>
      </c>
      <c r="L4" s="16">
        <v>-2.4227740763174128E-3</v>
      </c>
      <c r="M4" s="15">
        <v>0.1</v>
      </c>
      <c r="N4" s="15">
        <v>103.35</v>
      </c>
      <c r="O4" s="15">
        <v>104.3</v>
      </c>
    </row>
    <row r="5" spans="1:15" x14ac:dyDescent="0.25">
      <c r="B5" s="1" t="s">
        <v>54</v>
      </c>
      <c r="C5" s="20">
        <v>100.54593548387101</v>
      </c>
      <c r="D5" s="8">
        <v>8.0000000000000002E-3</v>
      </c>
      <c r="E5" s="29">
        <v>82.5</v>
      </c>
      <c r="F5" s="30">
        <v>35</v>
      </c>
      <c r="G5" s="32">
        <v>100.8</v>
      </c>
      <c r="H5" s="20">
        <v>1</v>
      </c>
      <c r="I5" s="33">
        <v>101.8</v>
      </c>
      <c r="J5" s="28">
        <v>32.549999999999997</v>
      </c>
      <c r="K5" s="28">
        <v>33.1</v>
      </c>
      <c r="L5" s="8">
        <v>-2.4227740763174128E-3</v>
      </c>
      <c r="M5" s="20">
        <v>0.1</v>
      </c>
      <c r="N5" s="20">
        <v>100.7</v>
      </c>
      <c r="O5" s="20">
        <v>101.9</v>
      </c>
    </row>
    <row r="6" spans="1:15" x14ac:dyDescent="0.25">
      <c r="B6" s="24" t="s">
        <v>55</v>
      </c>
      <c r="C6" s="15">
        <v>103.6758525345622</v>
      </c>
      <c r="D6" s="16">
        <v>-5.0000000000000001E-3</v>
      </c>
      <c r="E6" s="26">
        <v>86.7</v>
      </c>
      <c r="F6" s="27">
        <v>40</v>
      </c>
      <c r="G6" s="32">
        <v>103.55</v>
      </c>
      <c r="H6" s="15">
        <v>0.75</v>
      </c>
      <c r="I6" s="33">
        <v>104.3</v>
      </c>
      <c r="J6" s="25">
        <v>32.549999999999997</v>
      </c>
      <c r="K6" s="25">
        <v>33.1</v>
      </c>
      <c r="L6" s="16">
        <v>-2.4227740763174128E-3</v>
      </c>
      <c r="M6" s="15">
        <v>0.1</v>
      </c>
      <c r="N6" s="15">
        <v>103.45</v>
      </c>
      <c r="O6" s="15">
        <v>104.4</v>
      </c>
    </row>
    <row r="7" spans="1:15" x14ac:dyDescent="0.25">
      <c r="B7" s="1" t="s">
        <v>56</v>
      </c>
      <c r="C7" s="20">
        <v>117.49497388632879</v>
      </c>
      <c r="D7" s="8">
        <v>2.1000000000000001E-2</v>
      </c>
      <c r="E7" s="29">
        <v>112.3</v>
      </c>
      <c r="F7" s="30">
        <v>68</v>
      </c>
      <c r="G7" s="32">
        <v>119.1</v>
      </c>
      <c r="H7" s="20">
        <v>0.75</v>
      </c>
      <c r="I7" s="33">
        <v>119.85</v>
      </c>
      <c r="J7" s="28">
        <v>32.549999999999997</v>
      </c>
      <c r="K7" s="28">
        <v>33.1</v>
      </c>
      <c r="L7" s="8">
        <v>-2.4227740763174128E-3</v>
      </c>
      <c r="M7" s="20">
        <v>0.11899999999999999</v>
      </c>
      <c r="N7" s="20">
        <v>118.98099999999999</v>
      </c>
      <c r="O7" s="20">
        <v>119.96899999999999</v>
      </c>
    </row>
    <row r="8" spans="1:15" x14ac:dyDescent="0.25">
      <c r="B8" s="24" t="s">
        <v>57</v>
      </c>
      <c r="C8" s="15">
        <v>83.02034408602151</v>
      </c>
      <c r="D8" s="16">
        <v>-3.0000000000000001E-3</v>
      </c>
      <c r="E8" s="26">
        <v>75.400000000000006</v>
      </c>
      <c r="F8" s="27">
        <v>31</v>
      </c>
      <c r="G8" s="32">
        <v>83</v>
      </c>
      <c r="H8" s="15">
        <v>0.5</v>
      </c>
      <c r="I8" s="33">
        <v>83.5</v>
      </c>
      <c r="J8" s="25">
        <v>32.549999999999997</v>
      </c>
      <c r="K8" s="25">
        <v>33.1</v>
      </c>
      <c r="L8" s="16">
        <v>-2.4227740763174128E-3</v>
      </c>
      <c r="M8" s="15">
        <v>0.1</v>
      </c>
      <c r="N8" s="15">
        <v>82.9</v>
      </c>
      <c r="O8" s="15">
        <v>83.6</v>
      </c>
    </row>
    <row r="9" spans="1:15" x14ac:dyDescent="0.25">
      <c r="B9" s="1" t="s">
        <v>58</v>
      </c>
      <c r="C9" s="20">
        <v>100.408470046083</v>
      </c>
      <c r="D9" s="8">
        <v>6.0000000000000001E-3</v>
      </c>
      <c r="E9" s="29">
        <v>95.1</v>
      </c>
      <c r="F9" s="30">
        <v>48</v>
      </c>
      <c r="G9" s="32">
        <v>100.7</v>
      </c>
      <c r="H9" s="20">
        <v>0.75</v>
      </c>
      <c r="I9" s="33">
        <v>101.45</v>
      </c>
      <c r="J9" s="28">
        <v>32.549999999999997</v>
      </c>
      <c r="K9" s="28">
        <v>33.1</v>
      </c>
      <c r="L9" s="8">
        <v>-2.4227740763174128E-3</v>
      </c>
      <c r="M9" s="20">
        <v>0.1</v>
      </c>
      <c r="N9" s="20">
        <v>100.6</v>
      </c>
      <c r="O9" s="20">
        <v>101.55</v>
      </c>
    </row>
    <row r="10" spans="1:15" x14ac:dyDescent="0.25">
      <c r="B10" s="24" t="s">
        <v>59</v>
      </c>
      <c r="C10" s="15">
        <v>96.916761904761913</v>
      </c>
      <c r="D10" s="16">
        <v>-1E-3</v>
      </c>
      <c r="E10" s="26">
        <v>52.3</v>
      </c>
      <c r="F10" s="27">
        <v>4</v>
      </c>
      <c r="G10" s="32">
        <v>96.95</v>
      </c>
      <c r="H10" s="15">
        <v>0.75</v>
      </c>
      <c r="I10" s="33">
        <v>97.7</v>
      </c>
      <c r="J10" s="25">
        <v>32.549999999999997</v>
      </c>
      <c r="K10" s="25">
        <v>33.1</v>
      </c>
      <c r="L10" s="16">
        <v>-2.4227740763174128E-3</v>
      </c>
      <c r="M10" s="15">
        <v>0.1</v>
      </c>
      <c r="N10" s="15">
        <v>96.850000000000009</v>
      </c>
      <c r="O10" s="15">
        <v>97.8</v>
      </c>
    </row>
    <row r="11" spans="1:15" x14ac:dyDescent="0.25">
      <c r="B11" s="1" t="s">
        <v>60</v>
      </c>
      <c r="C11" s="20">
        <v>107.21205837173579</v>
      </c>
      <c r="D11" s="8">
        <v>1.4999999999999999E-2</v>
      </c>
      <c r="E11" s="29">
        <v>88.6</v>
      </c>
      <c r="F11" s="30">
        <v>45</v>
      </c>
      <c r="G11" s="32">
        <v>107.85</v>
      </c>
      <c r="H11" s="20">
        <v>1</v>
      </c>
      <c r="I11" s="33">
        <v>108.85</v>
      </c>
      <c r="J11" s="28">
        <v>32.549999999999997</v>
      </c>
      <c r="K11" s="28">
        <v>33.1</v>
      </c>
      <c r="L11" s="8">
        <v>-2.4227740763174128E-3</v>
      </c>
      <c r="M11" s="20">
        <v>0.1</v>
      </c>
      <c r="N11" s="20">
        <v>107.75</v>
      </c>
      <c r="O11" s="20">
        <v>108.95</v>
      </c>
    </row>
    <row r="12" spans="1:15" x14ac:dyDescent="0.25">
      <c r="B12" s="24" t="s">
        <v>61</v>
      </c>
      <c r="C12" s="15">
        <v>108.7628571428572</v>
      </c>
      <c r="D12" s="16">
        <v>-8.0000000000000002E-3</v>
      </c>
      <c r="E12" s="26">
        <v>105.8</v>
      </c>
      <c r="F12" s="27">
        <v>66</v>
      </c>
      <c r="G12" s="32">
        <v>108.25</v>
      </c>
      <c r="H12" s="15">
        <v>0.75</v>
      </c>
      <c r="I12" s="33">
        <v>109</v>
      </c>
      <c r="J12" s="25">
        <v>32.549999999999997</v>
      </c>
      <c r="K12" s="25">
        <v>33.1</v>
      </c>
      <c r="L12" s="16">
        <v>-2.4227740763174128E-3</v>
      </c>
      <c r="M12" s="15">
        <v>0.11550000000000001</v>
      </c>
      <c r="N12" s="15">
        <v>108.1345</v>
      </c>
      <c r="O12" s="15">
        <v>109.1155</v>
      </c>
    </row>
    <row r="13" spans="1:15" x14ac:dyDescent="0.25">
      <c r="B13" s="1" t="s">
        <v>62</v>
      </c>
      <c r="C13" s="20">
        <v>115.9086021505376</v>
      </c>
      <c r="D13" s="8">
        <v>1.7999999999999999E-2</v>
      </c>
      <c r="E13" s="29">
        <v>118.5</v>
      </c>
      <c r="F13" s="30">
        <v>75</v>
      </c>
      <c r="G13" s="32">
        <v>117.55</v>
      </c>
      <c r="H13" s="20">
        <v>0.75</v>
      </c>
      <c r="I13" s="33">
        <v>118.3</v>
      </c>
      <c r="J13" s="28">
        <v>32.549999999999997</v>
      </c>
      <c r="K13" s="28">
        <v>33.1</v>
      </c>
      <c r="L13" s="8">
        <v>-2.4227740763174128E-3</v>
      </c>
      <c r="M13" s="20">
        <v>0.13125000000000001</v>
      </c>
      <c r="N13" s="20">
        <v>117.41875</v>
      </c>
      <c r="O13" s="20">
        <v>118.43125000000001</v>
      </c>
    </row>
    <row r="16" spans="1:15" x14ac:dyDescent="0.25">
      <c r="B16" s="51" t="s">
        <v>81</v>
      </c>
      <c r="C16" s="49"/>
      <c r="D16" s="49"/>
      <c r="E16" s="49"/>
    </row>
    <row r="17" spans="2:15" x14ac:dyDescent="0.25">
      <c r="B17" s="21" t="s">
        <v>41</v>
      </c>
      <c r="C17" s="21" t="s">
        <v>34</v>
      </c>
      <c r="D17" s="21"/>
      <c r="E17" s="21"/>
    </row>
    <row r="18" spans="2:15" x14ac:dyDescent="0.25">
      <c r="B18" s="34" t="s">
        <v>53</v>
      </c>
      <c r="C18" s="20">
        <v>0.75</v>
      </c>
    </row>
    <row r="19" spans="2:15" x14ac:dyDescent="0.25">
      <c r="B19" s="34" t="s">
        <v>54</v>
      </c>
      <c r="C19" s="20">
        <v>1</v>
      </c>
    </row>
    <row r="20" spans="2:15" x14ac:dyDescent="0.25">
      <c r="B20" s="34" t="s">
        <v>55</v>
      </c>
      <c r="C20" s="20">
        <v>0.75</v>
      </c>
    </row>
    <row r="21" spans="2:15" x14ac:dyDescent="0.25">
      <c r="B21" s="34" t="s">
        <v>56</v>
      </c>
      <c r="C21" s="20">
        <v>0.75</v>
      </c>
    </row>
    <row r="22" spans="2:15" x14ac:dyDescent="0.25">
      <c r="B22" s="34" t="s">
        <v>57</v>
      </c>
      <c r="C22" s="20">
        <v>0.5</v>
      </c>
    </row>
    <row r="23" spans="2:15" x14ac:dyDescent="0.25">
      <c r="B23" s="34" t="s">
        <v>58</v>
      </c>
      <c r="C23" s="20">
        <v>0.75</v>
      </c>
    </row>
    <row r="24" spans="2:15" x14ac:dyDescent="0.25">
      <c r="B24" s="34" t="s">
        <v>59</v>
      </c>
      <c r="C24" s="20">
        <v>0.75</v>
      </c>
    </row>
    <row r="25" spans="2:15" x14ac:dyDescent="0.25">
      <c r="B25" s="34" t="s">
        <v>60</v>
      </c>
      <c r="C25" s="20">
        <v>1</v>
      </c>
    </row>
    <row r="26" spans="2:15" x14ac:dyDescent="0.25">
      <c r="B26" s="34" t="s">
        <v>61</v>
      </c>
      <c r="C26" s="20">
        <v>0.75</v>
      </c>
    </row>
    <row r="27" spans="2:15" x14ac:dyDescent="0.25">
      <c r="B27" s="34" t="s">
        <v>62</v>
      </c>
      <c r="C27" s="20">
        <v>0.75</v>
      </c>
    </row>
    <row r="29" spans="2:15" x14ac:dyDescent="0.25">
      <c r="B29" s="51" t="s">
        <v>82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</row>
    <row r="30" spans="2:15" x14ac:dyDescent="0.25">
      <c r="B30" s="1" t="s">
        <v>73</v>
      </c>
      <c r="C30" s="53" t="e">
        <f ca="1">_xludf.CEILING.MATH(Ref_Bid + Stk_Ret×100×Parity/100*Delta/100, 0.05)</f>
        <v>#NAME?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</row>
    <row r="31" spans="2:15" x14ac:dyDescent="0.25">
      <c r="B31" s="1" t="s">
        <v>75</v>
      </c>
      <c r="C31" s="53" t="e">
        <f>IF(Inventory&lt;&gt;0, Swap_Bid + _xludf.XLOOKUP(Bond, Lookup_Table), "")</f>
        <v>#NAME?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</row>
    <row r="32" spans="2:15" x14ac:dyDescent="0.25">
      <c r="B32" s="1" t="s">
        <v>83</v>
      </c>
      <c r="C32" s="53" t="e">
        <f>MAX(0.1, 0.35%*Delta/100/2)</f>
        <v>#NAME?</v>
      </c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</row>
    <row r="33" spans="2:15" x14ac:dyDescent="0.25">
      <c r="B33" s="1" t="s">
        <v>84</v>
      </c>
      <c r="C33" s="53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</row>
    <row r="34" spans="2:15" x14ac:dyDescent="0.25">
      <c r="B34" s="1" t="s">
        <v>85</v>
      </c>
      <c r="C34" s="53" t="e">
        <f>Swap_Offer + Stock_Spread</f>
        <v>#NAME?</v>
      </c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</row>
  </sheetData>
  <mergeCells count="8">
    <mergeCell ref="C31:O31"/>
    <mergeCell ref="B29:O29"/>
    <mergeCell ref="B16:E16"/>
    <mergeCell ref="A1:O1"/>
    <mergeCell ref="C34:O34"/>
    <mergeCell ref="C30:O30"/>
    <mergeCell ref="C33:O33"/>
    <mergeCell ref="C32:O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</sheetPr>
  <dimension ref="A1:I28"/>
  <sheetViews>
    <sheetView showGridLines="0" zoomScale="175" zoomScaleNormal="175" workbookViewId="0">
      <pane xSplit="2" ySplit="3" topLeftCell="C4" activePane="bottomRight" state="frozen"/>
      <selection pane="topRight"/>
      <selection pane="bottomLeft"/>
      <selection pane="bottomRight" activeCell="D30" sqref="D30"/>
    </sheetView>
  </sheetViews>
  <sheetFormatPr defaultRowHeight="15" x14ac:dyDescent="0.25"/>
  <cols>
    <col min="1" max="1" width="3" customWidth="1"/>
    <col min="2" max="2" width="14" customWidth="1"/>
    <col min="3" max="3" width="18" customWidth="1"/>
    <col min="4" max="4" width="9" customWidth="1"/>
    <col min="5" max="7" width="10" customWidth="1"/>
    <col min="8" max="8" width="22" customWidth="1"/>
    <col min="9" max="9" width="10" customWidth="1"/>
  </cols>
  <sheetData>
    <row r="1" spans="1:9" ht="27.95" customHeight="1" x14ac:dyDescent="0.25">
      <c r="A1" s="52" t="s">
        <v>86</v>
      </c>
      <c r="B1" s="49"/>
      <c r="C1" s="49"/>
      <c r="D1" s="49"/>
      <c r="E1" s="49"/>
      <c r="F1" s="49"/>
      <c r="G1" s="49"/>
      <c r="H1" s="49"/>
      <c r="I1" s="49"/>
    </row>
    <row r="3" spans="1:9" x14ac:dyDescent="0.25">
      <c r="B3" s="35" t="s">
        <v>41</v>
      </c>
      <c r="C3" s="35" t="s">
        <v>87</v>
      </c>
      <c r="D3" s="35" t="s">
        <v>72</v>
      </c>
      <c r="E3" s="35" t="s">
        <v>88</v>
      </c>
      <c r="F3" s="35" t="s">
        <v>89</v>
      </c>
      <c r="G3" s="35" t="s">
        <v>90</v>
      </c>
      <c r="H3" s="35" t="s">
        <v>91</v>
      </c>
      <c r="I3" s="35" t="s">
        <v>92</v>
      </c>
    </row>
    <row r="4" spans="1:9" x14ac:dyDescent="0.25">
      <c r="B4" s="24" t="s">
        <v>53</v>
      </c>
      <c r="C4" s="36" t="s">
        <v>93</v>
      </c>
      <c r="D4" s="27">
        <v>44</v>
      </c>
      <c r="E4" s="37">
        <v>500000</v>
      </c>
      <c r="F4" s="15">
        <v>105.08937019969279</v>
      </c>
      <c r="G4" s="15">
        <v>105.83937019969279</v>
      </c>
      <c r="H4" s="36" t="s">
        <v>94</v>
      </c>
      <c r="I4" s="15">
        <v>11.7744</v>
      </c>
    </row>
    <row r="5" spans="1:9" x14ac:dyDescent="0.25">
      <c r="B5" s="1" t="s">
        <v>54</v>
      </c>
      <c r="C5" s="34" t="s">
        <v>95</v>
      </c>
      <c r="D5" s="30">
        <v>35</v>
      </c>
      <c r="E5" s="38">
        <v>0</v>
      </c>
      <c r="F5" s="20">
        <v>101.74593548387099</v>
      </c>
      <c r="G5" s="20">
        <v>102.74593548387099</v>
      </c>
      <c r="H5" s="34" t="s">
        <v>96</v>
      </c>
      <c r="I5" s="20">
        <v>8.6624999999999996</v>
      </c>
    </row>
    <row r="6" spans="1:9" x14ac:dyDescent="0.25">
      <c r="B6" s="24" t="s">
        <v>55</v>
      </c>
      <c r="C6" s="36" t="s">
        <v>97</v>
      </c>
      <c r="D6" s="27">
        <v>40</v>
      </c>
      <c r="E6" s="37">
        <v>300000</v>
      </c>
      <c r="F6" s="15">
        <v>104.8758525345622</v>
      </c>
      <c r="G6" s="15">
        <v>105.6258525345622</v>
      </c>
      <c r="H6" s="36" t="s">
        <v>98</v>
      </c>
      <c r="I6" s="15">
        <v>10.404</v>
      </c>
    </row>
    <row r="7" spans="1:9" x14ac:dyDescent="0.25">
      <c r="B7" s="1" t="s">
        <v>56</v>
      </c>
      <c r="C7" s="34" t="s">
        <v>99</v>
      </c>
      <c r="D7" s="30">
        <v>68</v>
      </c>
      <c r="E7" s="38">
        <v>1000000</v>
      </c>
      <c r="F7" s="20">
        <v>118.6949738863288</v>
      </c>
      <c r="G7" s="20">
        <v>119.4449738863288</v>
      </c>
      <c r="H7" s="34" t="s">
        <v>100</v>
      </c>
      <c r="I7" s="20">
        <v>22.909199999999991</v>
      </c>
    </row>
    <row r="8" spans="1:9" x14ac:dyDescent="0.25">
      <c r="B8" s="24" t="s">
        <v>57</v>
      </c>
      <c r="C8" s="36" t="s">
        <v>101</v>
      </c>
      <c r="D8" s="27">
        <v>31</v>
      </c>
      <c r="E8" s="37">
        <v>0</v>
      </c>
      <c r="F8" s="15">
        <v>84.220344086021512</v>
      </c>
      <c r="G8" s="15">
        <v>84.720344086021512</v>
      </c>
      <c r="H8" s="36" t="s">
        <v>102</v>
      </c>
      <c r="I8" s="15">
        <v>7.0122000000000018</v>
      </c>
    </row>
    <row r="9" spans="1:9" x14ac:dyDescent="0.25">
      <c r="B9" s="1" t="s">
        <v>58</v>
      </c>
      <c r="C9" s="34" t="s">
        <v>103</v>
      </c>
      <c r="D9" s="30">
        <v>48</v>
      </c>
      <c r="E9" s="38">
        <v>200000</v>
      </c>
      <c r="F9" s="20">
        <v>101.608470046083</v>
      </c>
      <c r="G9" s="20">
        <v>102.358470046083</v>
      </c>
      <c r="H9" s="34" t="s">
        <v>104</v>
      </c>
      <c r="I9" s="20">
        <v>13.6944</v>
      </c>
    </row>
    <row r="10" spans="1:9" x14ac:dyDescent="0.25">
      <c r="B10" s="24" t="s">
        <v>59</v>
      </c>
      <c r="C10" s="36" t="s">
        <v>105</v>
      </c>
      <c r="D10" s="27">
        <v>4</v>
      </c>
      <c r="E10" s="37">
        <v>0</v>
      </c>
      <c r="F10" s="15">
        <v>98.116761904761916</v>
      </c>
      <c r="G10" s="15">
        <v>98.866761904761916</v>
      </c>
      <c r="H10" s="36" t="s">
        <v>106</v>
      </c>
      <c r="I10" s="15">
        <v>0.62759999999999994</v>
      </c>
    </row>
    <row r="11" spans="1:9" x14ac:dyDescent="0.25">
      <c r="B11" s="1" t="s">
        <v>60</v>
      </c>
      <c r="C11" s="34" t="s">
        <v>107</v>
      </c>
      <c r="D11" s="30">
        <v>45</v>
      </c>
      <c r="E11" s="38">
        <v>150000</v>
      </c>
      <c r="F11" s="20">
        <v>108.4120583717358</v>
      </c>
      <c r="G11" s="20">
        <v>109.4120583717358</v>
      </c>
      <c r="H11" s="34" t="s">
        <v>108</v>
      </c>
      <c r="I11" s="20">
        <v>11.961</v>
      </c>
    </row>
    <row r="12" spans="1:9" x14ac:dyDescent="0.25">
      <c r="B12" s="24" t="s">
        <v>61</v>
      </c>
      <c r="C12" s="36" t="s">
        <v>109</v>
      </c>
      <c r="D12" s="27">
        <v>66</v>
      </c>
      <c r="E12" s="37">
        <v>800000</v>
      </c>
      <c r="F12" s="15">
        <v>109.9628571428572</v>
      </c>
      <c r="G12" s="15">
        <v>110.7128571428572</v>
      </c>
      <c r="H12" s="36" t="s">
        <v>110</v>
      </c>
      <c r="I12" s="15">
        <v>20.948399999999999</v>
      </c>
    </row>
    <row r="13" spans="1:9" x14ac:dyDescent="0.25">
      <c r="B13" s="1" t="s">
        <v>62</v>
      </c>
      <c r="C13" s="34" t="s">
        <v>111</v>
      </c>
      <c r="D13" s="30">
        <v>75</v>
      </c>
      <c r="E13" s="38">
        <v>600000</v>
      </c>
      <c r="F13" s="20">
        <v>117.10860215053761</v>
      </c>
      <c r="G13" s="20">
        <v>117.85860215053761</v>
      </c>
      <c r="H13" s="34" t="s">
        <v>112</v>
      </c>
      <c r="I13" s="20">
        <v>26.662500000000001</v>
      </c>
    </row>
    <row r="16" spans="1:9" x14ac:dyDescent="0.25">
      <c r="B16" s="51" t="s">
        <v>113</v>
      </c>
      <c r="C16" s="49"/>
      <c r="D16" s="49"/>
      <c r="E16" s="49"/>
      <c r="F16" s="49"/>
      <c r="G16" s="49"/>
      <c r="H16" s="49"/>
      <c r="I16" s="49"/>
    </row>
    <row r="17" spans="2:9" x14ac:dyDescent="0.25">
      <c r="B17" s="1" t="s">
        <v>114</v>
      </c>
      <c r="C17" s="53" t="s">
        <v>115</v>
      </c>
      <c r="D17" s="49"/>
      <c r="E17" s="49"/>
      <c r="F17" s="49"/>
      <c r="G17" s="49"/>
      <c r="H17" s="49"/>
      <c r="I17" s="49"/>
    </row>
    <row r="18" spans="2:9" x14ac:dyDescent="0.25">
      <c r="B18" s="1" t="s">
        <v>116</v>
      </c>
      <c r="C18" s="53" t="s">
        <v>117</v>
      </c>
      <c r="D18" s="49"/>
      <c r="E18" s="49"/>
      <c r="F18" s="49"/>
      <c r="G18" s="49"/>
      <c r="H18" s="49"/>
      <c r="I18" s="49"/>
    </row>
    <row r="19" spans="2:9" x14ac:dyDescent="0.25">
      <c r="B19" s="1" t="s">
        <v>118</v>
      </c>
      <c r="C19" s="53" t="s">
        <v>119</v>
      </c>
      <c r="D19" s="49"/>
      <c r="E19" s="49"/>
      <c r="F19" s="49"/>
      <c r="G19" s="49"/>
      <c r="H19" s="49"/>
      <c r="I19" s="49"/>
    </row>
    <row r="20" spans="2:9" x14ac:dyDescent="0.25">
      <c r="B20" s="1" t="s">
        <v>120</v>
      </c>
      <c r="C20" s="53" t="s">
        <v>121</v>
      </c>
      <c r="D20" s="49"/>
      <c r="E20" s="49"/>
      <c r="F20" s="49"/>
      <c r="G20" s="49"/>
      <c r="H20" s="49"/>
      <c r="I20" s="49"/>
    </row>
    <row r="21" spans="2:9" x14ac:dyDescent="0.25">
      <c r="B21" s="1" t="s">
        <v>122</v>
      </c>
      <c r="C21" s="53" t="s">
        <v>123</v>
      </c>
      <c r="D21" s="49"/>
      <c r="E21" s="49"/>
      <c r="F21" s="49"/>
      <c r="G21" s="49"/>
      <c r="H21" s="49"/>
      <c r="I21" s="49"/>
    </row>
    <row r="22" spans="2:9" x14ac:dyDescent="0.25">
      <c r="B22" s="1" t="s">
        <v>124</v>
      </c>
      <c r="C22" s="53" t="s">
        <v>125</v>
      </c>
      <c r="D22" s="49"/>
      <c r="E22" s="49"/>
      <c r="F22" s="49"/>
      <c r="G22" s="49"/>
      <c r="H22" s="49"/>
      <c r="I22" s="49"/>
    </row>
    <row r="23" spans="2:9" x14ac:dyDescent="0.25">
      <c r="B23" s="1" t="s">
        <v>126</v>
      </c>
      <c r="C23" s="53" t="s">
        <v>127</v>
      </c>
      <c r="D23" s="49"/>
      <c r="E23" s="49"/>
      <c r="F23" s="49"/>
      <c r="G23" s="49"/>
      <c r="H23" s="49"/>
      <c r="I23" s="49"/>
    </row>
    <row r="25" spans="2:9" x14ac:dyDescent="0.25">
      <c r="B25" s="1" t="s">
        <v>89</v>
      </c>
      <c r="C25" s="53" t="e">
        <f ca="1">BDP(ISIN&amp;"@"&amp;LEFT(Source,FIND(":",Source)-1)&amp;" Corp","px_bid")</f>
        <v>#NAME?</v>
      </c>
      <c r="D25" s="49"/>
      <c r="E25" s="49"/>
      <c r="F25" s="49"/>
      <c r="G25" s="49"/>
      <c r="H25" s="49"/>
      <c r="I25" s="49"/>
    </row>
    <row r="26" spans="2:9" x14ac:dyDescent="0.25">
      <c r="B26" s="1" t="s">
        <v>90</v>
      </c>
      <c r="C26" s="53" t="e">
        <f ca="1">BDP(ISIN&amp;"@"&amp;LEFT(Source,FIND(":",Source)-1)&amp;" Corp","px_ask")</f>
        <v>#NAME?</v>
      </c>
      <c r="D26" s="49"/>
      <c r="E26" s="49"/>
      <c r="F26" s="49"/>
      <c r="G26" s="49"/>
      <c r="H26" s="49"/>
      <c r="I26" s="49"/>
    </row>
    <row r="27" spans="2:9" x14ac:dyDescent="0.25">
      <c r="B27" s="1" t="s">
        <v>88</v>
      </c>
      <c r="C27" s="53" t="e">
        <f>SUMIF('[1]EQRMS Data'!G:G, ISIN, '[1]EQRMS Data'!F:F)</f>
        <v>#VALUE!</v>
      </c>
      <c r="D27" s="49"/>
      <c r="E27" s="49"/>
      <c r="F27" s="49"/>
      <c r="G27" s="49"/>
      <c r="H27" s="49"/>
      <c r="I27" s="49"/>
    </row>
    <row r="28" spans="2:9" x14ac:dyDescent="0.25">
      <c r="B28" s="1" t="s">
        <v>92</v>
      </c>
      <c r="C28" s="53" t="e">
        <f>30 * Delta/100 * Parity/100</f>
        <v>#NAME?</v>
      </c>
      <c r="D28" s="49"/>
      <c r="E28" s="49"/>
      <c r="F28" s="49"/>
      <c r="G28" s="49"/>
      <c r="H28" s="49"/>
      <c r="I28" s="49"/>
    </row>
  </sheetData>
  <mergeCells count="13">
    <mergeCell ref="B16:I16"/>
    <mergeCell ref="C21:I21"/>
    <mergeCell ref="A1:I1"/>
    <mergeCell ref="C20:I20"/>
    <mergeCell ref="C25:I25"/>
    <mergeCell ref="C19:I19"/>
    <mergeCell ref="C28:I28"/>
    <mergeCell ref="C23:I23"/>
    <mergeCell ref="C22:I22"/>
    <mergeCell ref="C18:I18"/>
    <mergeCell ref="C17:I17"/>
    <mergeCell ref="C26:I26"/>
    <mergeCell ref="C27:I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M22"/>
  <sheetViews>
    <sheetView showGridLines="0" zoomScale="205" zoomScaleNormal="205" workbookViewId="0">
      <pane xSplit="2" ySplit="3" topLeftCell="C4" activePane="bottomRight" state="frozen"/>
      <selection pane="topRight"/>
      <selection pane="bottomLeft"/>
      <selection pane="bottomRight" activeCell="G15" sqref="G15"/>
    </sheetView>
  </sheetViews>
  <sheetFormatPr defaultRowHeight="15" x14ac:dyDescent="0.25"/>
  <cols>
    <col min="1" max="1" width="3" customWidth="1"/>
    <col min="2" max="2" width="14" customWidth="1"/>
    <col min="3" max="13" width="10" customWidth="1"/>
  </cols>
  <sheetData>
    <row r="1" spans="1:13" ht="27.95" customHeight="1" x14ac:dyDescent="0.25">
      <c r="A1" s="52" t="s">
        <v>128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3" spans="1:13" x14ac:dyDescent="0.25">
      <c r="B3" s="39" t="s">
        <v>41</v>
      </c>
      <c r="C3" s="39" t="s">
        <v>73</v>
      </c>
      <c r="D3" s="39" t="s">
        <v>129</v>
      </c>
      <c r="E3" s="39" t="s">
        <v>130</v>
      </c>
      <c r="F3" s="39" t="s">
        <v>131</v>
      </c>
      <c r="G3" s="39" t="s">
        <v>132</v>
      </c>
      <c r="H3" s="39" t="s">
        <v>133</v>
      </c>
      <c r="I3" s="39" t="s">
        <v>134</v>
      </c>
      <c r="J3" s="39" t="s">
        <v>135</v>
      </c>
      <c r="K3" s="39" t="s">
        <v>136</v>
      </c>
      <c r="L3" s="39" t="s">
        <v>137</v>
      </c>
      <c r="M3" s="39"/>
    </row>
    <row r="4" spans="1:13" x14ac:dyDescent="0.25">
      <c r="B4" s="24" t="s">
        <v>53</v>
      </c>
      <c r="C4" s="15">
        <v>103.45</v>
      </c>
      <c r="D4" s="15">
        <v>103.15</v>
      </c>
      <c r="E4" s="15">
        <v>0.29999999999999721</v>
      </c>
      <c r="F4" s="15">
        <v>-0.71325340763174139</v>
      </c>
      <c r="G4" s="15">
        <v>1.013253407631739</v>
      </c>
      <c r="H4" s="40">
        <v>274</v>
      </c>
      <c r="I4" s="25">
        <v>32.549999999999997</v>
      </c>
      <c r="J4" s="16">
        <v>-1.1857707509881471E-2</v>
      </c>
      <c r="K4" s="16">
        <v>2.155172413793149E-3</v>
      </c>
      <c r="L4" s="32">
        <v>102.8</v>
      </c>
    </row>
    <row r="5" spans="1:13" x14ac:dyDescent="0.25">
      <c r="B5" s="1" t="s">
        <v>54</v>
      </c>
      <c r="C5" s="20">
        <v>100.8</v>
      </c>
      <c r="D5" s="20">
        <v>100.55</v>
      </c>
      <c r="E5" s="20">
        <v>0.25</v>
      </c>
      <c r="F5" s="20">
        <v>-1.127740763174132E-2</v>
      </c>
      <c r="G5" s="20">
        <v>0.26127740763174129</v>
      </c>
      <c r="H5" s="41">
        <v>186.5</v>
      </c>
      <c r="I5" s="28">
        <v>32.549999999999997</v>
      </c>
      <c r="J5" s="8">
        <v>8.0645161290322509E-3</v>
      </c>
      <c r="K5" s="8">
        <v>2.155172413793149E-3</v>
      </c>
      <c r="L5" s="32">
        <v>100.85</v>
      </c>
    </row>
    <row r="6" spans="1:13" x14ac:dyDescent="0.25">
      <c r="B6" s="24" t="s">
        <v>55</v>
      </c>
      <c r="C6" s="15">
        <v>103.55</v>
      </c>
      <c r="D6" s="15">
        <v>103.35</v>
      </c>
      <c r="E6" s="15">
        <v>0.20000000000000279</v>
      </c>
      <c r="F6" s="15">
        <v>-0.41567740763174132</v>
      </c>
      <c r="G6" s="15">
        <v>0.61567740763174417</v>
      </c>
      <c r="H6" s="40">
        <v>274</v>
      </c>
      <c r="I6" s="25">
        <v>32.549999999999997</v>
      </c>
      <c r="J6" s="16">
        <v>-4.9751243781093191E-3</v>
      </c>
      <c r="K6" s="16">
        <v>2.155172413793149E-3</v>
      </c>
      <c r="L6" s="32">
        <v>103.2</v>
      </c>
    </row>
    <row r="7" spans="1:13" x14ac:dyDescent="0.25">
      <c r="B7" s="1" t="s">
        <v>56</v>
      </c>
      <c r="C7" s="20">
        <v>119.1</v>
      </c>
      <c r="D7" s="20">
        <v>118.95</v>
      </c>
      <c r="E7" s="20">
        <v>0.1499999999999915</v>
      </c>
      <c r="F7" s="20">
        <v>1.361366592368259</v>
      </c>
      <c r="G7" s="20">
        <v>-1.211366592368267</v>
      </c>
      <c r="H7" s="41">
        <v>2180</v>
      </c>
      <c r="I7" s="28">
        <v>32.549999999999997</v>
      </c>
      <c r="J7" s="8">
        <v>2.145045965270698E-2</v>
      </c>
      <c r="K7" s="8">
        <v>2.155172413793149E-3</v>
      </c>
      <c r="L7" s="32">
        <v>120.55</v>
      </c>
    </row>
    <row r="8" spans="1:13" x14ac:dyDescent="0.25">
      <c r="B8" s="24" t="s">
        <v>57</v>
      </c>
      <c r="C8" s="15">
        <v>83</v>
      </c>
      <c r="D8" s="15">
        <v>82.9</v>
      </c>
      <c r="E8" s="15">
        <v>9.9999999999994316E-2</v>
      </c>
      <c r="F8" s="15">
        <v>-0.31239940763174129</v>
      </c>
      <c r="G8" s="15">
        <v>0.41239940763173571</v>
      </c>
      <c r="H8" s="40">
        <v>530</v>
      </c>
      <c r="I8" s="25">
        <v>32.549999999999997</v>
      </c>
      <c r="J8" s="16">
        <v>-2.991026919242135E-3</v>
      </c>
      <c r="K8" s="16">
        <v>2.155172413793149E-3</v>
      </c>
      <c r="L8" s="32">
        <v>82.75</v>
      </c>
    </row>
    <row r="9" spans="1:13" x14ac:dyDescent="0.25">
      <c r="B9" s="1" t="s">
        <v>58</v>
      </c>
      <c r="C9" s="20">
        <v>100.7</v>
      </c>
      <c r="D9" s="20">
        <v>100.65</v>
      </c>
      <c r="E9" s="20">
        <v>4.9999999999997158E-2</v>
      </c>
      <c r="F9" s="20">
        <v>3.1610592368258687E-2</v>
      </c>
      <c r="G9" s="20">
        <v>1.838940763173846E-2</v>
      </c>
      <c r="H9" s="41">
        <v>112</v>
      </c>
      <c r="I9" s="28">
        <v>32.549999999999997</v>
      </c>
      <c r="J9" s="8">
        <v>6.0362173038228661E-3</v>
      </c>
      <c r="K9" s="8">
        <v>2.155172413793149E-3</v>
      </c>
      <c r="L9" s="32">
        <v>100.8</v>
      </c>
    </row>
    <row r="10" spans="1:13" x14ac:dyDescent="0.25">
      <c r="B10" s="24" t="s">
        <v>59</v>
      </c>
      <c r="C10" s="15">
        <v>96.95</v>
      </c>
      <c r="D10" s="15">
        <v>96.95</v>
      </c>
      <c r="E10" s="15">
        <v>0</v>
      </c>
      <c r="F10" s="15">
        <v>-0.24436940763174131</v>
      </c>
      <c r="G10" s="15">
        <v>0.24436940763174131</v>
      </c>
      <c r="H10" s="40">
        <v>42.5</v>
      </c>
      <c r="I10" s="25">
        <v>32.549999999999997</v>
      </c>
      <c r="J10" s="16">
        <v>-9.9900099900096517E-4</v>
      </c>
      <c r="K10" s="16">
        <v>2.155172413793149E-3</v>
      </c>
      <c r="L10" s="32">
        <v>96.75</v>
      </c>
    </row>
    <row r="11" spans="1:13" x14ac:dyDescent="0.25">
      <c r="B11" s="1" t="s">
        <v>60</v>
      </c>
      <c r="C11" s="20">
        <v>107.85</v>
      </c>
      <c r="D11" s="20">
        <v>107.9</v>
      </c>
      <c r="E11" s="20">
        <v>-4.9999999999997158E-2</v>
      </c>
      <c r="F11" s="20">
        <v>0.35577259236825848</v>
      </c>
      <c r="G11" s="20">
        <v>-0.40577259236825569</v>
      </c>
      <c r="H11" s="41">
        <v>215</v>
      </c>
      <c r="I11" s="28">
        <v>32.549999999999997</v>
      </c>
      <c r="J11" s="8">
        <v>1.5228426395939019E-2</v>
      </c>
      <c r="K11" s="8">
        <v>2.155172413793149E-3</v>
      </c>
      <c r="L11" s="32">
        <v>108.25</v>
      </c>
    </row>
    <row r="12" spans="1:13" x14ac:dyDescent="0.25">
      <c r="B12" s="24" t="s">
        <v>61</v>
      </c>
      <c r="C12" s="15">
        <v>108.25</v>
      </c>
      <c r="D12" s="15">
        <v>108.35</v>
      </c>
      <c r="E12" s="15">
        <v>-0.1000000000000085</v>
      </c>
      <c r="F12" s="15">
        <v>-0.80090140763174134</v>
      </c>
      <c r="G12" s="15">
        <v>0.70090140763173281</v>
      </c>
      <c r="H12" s="40">
        <v>145</v>
      </c>
      <c r="I12" s="25">
        <v>32.549999999999997</v>
      </c>
      <c r="J12" s="16">
        <v>-7.9365079365079083E-3</v>
      </c>
      <c r="K12" s="16">
        <v>2.155172413793149E-3</v>
      </c>
      <c r="L12" s="32">
        <v>107.5</v>
      </c>
    </row>
    <row r="13" spans="1:13" x14ac:dyDescent="0.25">
      <c r="B13" s="1" t="s">
        <v>62</v>
      </c>
      <c r="C13" s="20">
        <v>117.55</v>
      </c>
      <c r="D13" s="20">
        <v>117.7</v>
      </c>
      <c r="E13" s="20">
        <v>-0.15000000000000571</v>
      </c>
      <c r="F13" s="20">
        <v>1.3574725923682589</v>
      </c>
      <c r="G13" s="20">
        <v>-1.5074725923682639</v>
      </c>
      <c r="H13" s="41">
        <v>95</v>
      </c>
      <c r="I13" s="28">
        <v>32.549999999999997</v>
      </c>
      <c r="J13" s="8">
        <v>1.8329938900203849E-2</v>
      </c>
      <c r="K13" s="8">
        <v>2.155172413793149E-3</v>
      </c>
      <c r="L13" s="32">
        <v>119</v>
      </c>
    </row>
    <row r="16" spans="1:13" x14ac:dyDescent="0.25">
      <c r="B16" s="51" t="s">
        <v>82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</row>
    <row r="17" spans="2:13" x14ac:dyDescent="0.25">
      <c r="B17" s="1" t="s">
        <v>130</v>
      </c>
      <c r="C17" s="53"/>
      <c r="D17" s="49"/>
      <c r="E17" s="49"/>
      <c r="F17" s="49"/>
      <c r="G17" s="49"/>
      <c r="H17" s="49"/>
      <c r="I17" s="49"/>
      <c r="J17" s="49"/>
      <c r="K17" s="49"/>
      <c r="L17" s="49"/>
      <c r="M17" s="49"/>
    </row>
    <row r="18" spans="2:13" x14ac:dyDescent="0.25">
      <c r="B18" s="1" t="s">
        <v>131</v>
      </c>
      <c r="C18" s="53" t="e">
        <f>TWD_Nuke + FX_Impact</f>
        <v>#NAME?</v>
      </c>
      <c r="D18" s="49"/>
      <c r="E18" s="49"/>
      <c r="F18" s="49"/>
      <c r="G18" s="49"/>
      <c r="H18" s="49"/>
      <c r="I18" s="49"/>
      <c r="J18" s="49"/>
      <c r="K18" s="49"/>
      <c r="L18" s="49"/>
      <c r="M18" s="49"/>
    </row>
    <row r="19" spans="2:13" x14ac:dyDescent="0.25">
      <c r="B19" s="1" t="s">
        <v>132</v>
      </c>
      <c r="C19" s="53"/>
      <c r="D19" s="49"/>
      <c r="E19" s="49"/>
      <c r="F19" s="49"/>
      <c r="G19" s="49"/>
      <c r="H19" s="49"/>
      <c r="I19" s="49"/>
      <c r="J19" s="49"/>
      <c r="K19" s="49"/>
      <c r="L19" s="49"/>
      <c r="M19" s="49"/>
    </row>
    <row r="20" spans="2:13" x14ac:dyDescent="0.25">
      <c r="B20" s="1" t="s">
        <v>138</v>
      </c>
      <c r="C20" s="53"/>
      <c r="D20" s="49"/>
      <c r="E20" s="49"/>
      <c r="F20" s="49"/>
      <c r="G20" s="49"/>
      <c r="H20" s="49"/>
      <c r="I20" s="49"/>
      <c r="J20" s="49"/>
      <c r="K20" s="49"/>
      <c r="L20" s="49"/>
      <c r="M20" s="49"/>
    </row>
    <row r="21" spans="2:13" x14ac:dyDescent="0.25">
      <c r="B21" s="1" t="s">
        <v>136</v>
      </c>
      <c r="C21" s="53"/>
      <c r="D21" s="49"/>
      <c r="E21" s="49"/>
      <c r="F21" s="49"/>
      <c r="G21" s="49"/>
      <c r="H21" s="49"/>
      <c r="I21" s="49"/>
      <c r="J21" s="49"/>
      <c r="K21" s="49"/>
      <c r="L21" s="49"/>
      <c r="M21" s="49"/>
    </row>
    <row r="22" spans="2:13" x14ac:dyDescent="0.25">
      <c r="B22" s="1" t="s">
        <v>139</v>
      </c>
      <c r="C22" s="53"/>
      <c r="D22" s="49"/>
      <c r="E22" s="49"/>
      <c r="F22" s="49"/>
      <c r="G22" s="49"/>
      <c r="H22" s="49"/>
      <c r="I22" s="49"/>
      <c r="J22" s="49"/>
      <c r="K22" s="49"/>
      <c r="L22" s="49"/>
      <c r="M22" s="49"/>
    </row>
  </sheetData>
  <mergeCells count="8">
    <mergeCell ref="C22:M22"/>
    <mergeCell ref="C18:M18"/>
    <mergeCell ref="C17:M17"/>
    <mergeCell ref="B16:M16"/>
    <mergeCell ref="A1:M1"/>
    <mergeCell ref="C20:M20"/>
    <mergeCell ref="C21:M21"/>
    <mergeCell ref="C19:M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H37"/>
  <sheetViews>
    <sheetView showGridLines="0" zoomScale="145" zoomScaleNormal="145" workbookViewId="0">
      <pane ySplit="2" topLeftCell="A16" activePane="bottomLeft" state="frozen"/>
      <selection pane="bottomLeft" sqref="A1:H1"/>
    </sheetView>
  </sheetViews>
  <sheetFormatPr defaultRowHeight="15" x14ac:dyDescent="0.25"/>
  <cols>
    <col min="1" max="1" width="3" customWidth="1"/>
    <col min="2" max="2" width="16" customWidth="1"/>
    <col min="3" max="8" width="12" customWidth="1"/>
  </cols>
  <sheetData>
    <row r="1" spans="1:8" ht="27.95" customHeight="1" x14ac:dyDescent="0.25">
      <c r="A1" s="52" t="s">
        <v>140</v>
      </c>
      <c r="B1" s="49"/>
      <c r="C1" s="49"/>
      <c r="D1" s="49"/>
      <c r="E1" s="49"/>
      <c r="F1" s="49"/>
      <c r="G1" s="49"/>
      <c r="H1" s="49"/>
    </row>
    <row r="3" spans="1:8" x14ac:dyDescent="0.25">
      <c r="B3" s="50" t="s">
        <v>141</v>
      </c>
      <c r="C3" s="49"/>
      <c r="D3" s="49"/>
      <c r="E3" s="49"/>
      <c r="F3" s="49"/>
      <c r="G3" s="49"/>
      <c r="H3" s="49"/>
    </row>
    <row r="4" spans="1:8" x14ac:dyDescent="0.25">
      <c r="B4" s="42" t="s">
        <v>142</v>
      </c>
      <c r="C4" s="42" t="s">
        <v>143</v>
      </c>
      <c r="D4" s="42"/>
      <c r="E4" s="42" t="s">
        <v>144</v>
      </c>
      <c r="F4" s="42"/>
      <c r="G4" s="42" t="s">
        <v>12</v>
      </c>
      <c r="H4" s="42"/>
    </row>
    <row r="5" spans="1:8" ht="25.5" x14ac:dyDescent="0.25">
      <c r="B5" s="1" t="s">
        <v>145</v>
      </c>
      <c r="C5" s="20">
        <v>103.5</v>
      </c>
      <c r="E5" s="20">
        <v>106</v>
      </c>
      <c r="G5" s="4" t="e">
        <f>Term_Sheet_Value</f>
        <v>#NAME?</v>
      </c>
    </row>
    <row r="6" spans="1:8" x14ac:dyDescent="0.25">
      <c r="B6" s="1" t="s">
        <v>146</v>
      </c>
      <c r="C6" s="20">
        <v>4.42</v>
      </c>
      <c r="E6" s="20">
        <v>4.5199999999999996</v>
      </c>
      <c r="G6" s="4" t="e">
        <f ca="1">BDP("USOSFR_ BGN","PX LAST")</f>
        <v>#NAME?</v>
      </c>
    </row>
    <row r="7" spans="1:8" x14ac:dyDescent="0.25">
      <c r="B7" s="1" t="s">
        <v>147</v>
      </c>
      <c r="C7" s="20">
        <v>1</v>
      </c>
      <c r="E7" s="20">
        <v>1</v>
      </c>
    </row>
    <row r="8" spans="1:8" x14ac:dyDescent="0.25">
      <c r="B8" s="1" t="s">
        <v>148</v>
      </c>
      <c r="C8" s="43">
        <v>1.1113376399999999</v>
      </c>
      <c r="E8" s="43">
        <v>1.2397643108847609</v>
      </c>
      <c r="G8" s="4" t="e">
        <f>(1+(SOFR+Spread)/100)^T</f>
        <v>#NAME?</v>
      </c>
    </row>
    <row r="9" spans="1:8" x14ac:dyDescent="0.25">
      <c r="B9" s="44" t="s">
        <v>149</v>
      </c>
      <c r="C9" s="32">
        <v>93.131012821629966</v>
      </c>
      <c r="E9" s="32">
        <v>85.50012213559593</v>
      </c>
      <c r="G9" s="4" t="e">
        <f>Put_Price / Discount_Factor</f>
        <v>#NAME?</v>
      </c>
    </row>
    <row r="10" spans="1:8" x14ac:dyDescent="0.25">
      <c r="B10" s="45" t="s">
        <v>150</v>
      </c>
      <c r="C10" s="46">
        <v>89.315567478612948</v>
      </c>
      <c r="G10" s="4" t="e">
        <f>AVERAGE(PV_Put, PV_Mat)</f>
        <v>#NAME?</v>
      </c>
    </row>
    <row r="12" spans="1:8" x14ac:dyDescent="0.25">
      <c r="B12" s="50" t="s">
        <v>151</v>
      </c>
      <c r="C12" s="49"/>
      <c r="D12" s="49"/>
      <c r="E12" s="49"/>
      <c r="F12" s="49"/>
      <c r="G12" s="49"/>
      <c r="H12" s="49"/>
    </row>
    <row r="13" spans="1:8" x14ac:dyDescent="0.25">
      <c r="B13" s="42" t="s">
        <v>142</v>
      </c>
      <c r="C13" s="42" t="s">
        <v>143</v>
      </c>
      <c r="D13" s="42"/>
      <c r="E13" s="42" t="s">
        <v>144</v>
      </c>
      <c r="F13" s="42"/>
      <c r="G13" s="42" t="s">
        <v>12</v>
      </c>
      <c r="H13" s="42"/>
    </row>
    <row r="14" spans="1:8" ht="25.5" x14ac:dyDescent="0.25">
      <c r="B14" s="1" t="s">
        <v>145</v>
      </c>
      <c r="C14" s="20">
        <v>100</v>
      </c>
      <c r="E14" s="20">
        <v>102.5</v>
      </c>
      <c r="G14" s="4" t="e">
        <f>Term_Sheet_Value</f>
        <v>#NAME?</v>
      </c>
    </row>
    <row r="15" spans="1:8" x14ac:dyDescent="0.25">
      <c r="B15" s="1" t="s">
        <v>146</v>
      </c>
      <c r="C15" s="20">
        <v>4.25</v>
      </c>
      <c r="E15" s="20">
        <v>4.3499999999999996</v>
      </c>
      <c r="G15" s="4" t="e">
        <f ca="1">BDP("USOSFR_ BGN","PX LAST")</f>
        <v>#NAME?</v>
      </c>
    </row>
    <row r="16" spans="1:8" x14ac:dyDescent="0.25">
      <c r="B16" s="1" t="s">
        <v>147</v>
      </c>
      <c r="C16" s="20">
        <v>1.5</v>
      </c>
      <c r="E16" s="20">
        <v>1.5</v>
      </c>
    </row>
    <row r="17" spans="2:8" x14ac:dyDescent="0.25">
      <c r="B17" s="1" t="s">
        <v>148</v>
      </c>
      <c r="C17" s="43">
        <v>1.1826088593749999</v>
      </c>
      <c r="E17" s="43">
        <v>1.3287837603653241</v>
      </c>
      <c r="G17" s="4" t="e">
        <f>(1+(SOFR+Spread)/100)^T</f>
        <v>#NAME?</v>
      </c>
    </row>
    <row r="18" spans="2:8" x14ac:dyDescent="0.25">
      <c r="B18" s="44" t="s">
        <v>149</v>
      </c>
      <c r="C18" s="32">
        <v>84.558811822912631</v>
      </c>
      <c r="E18" s="32">
        <v>77.138209434332325</v>
      </c>
      <c r="G18" s="4" t="e">
        <f>Put_Price / Discount_Factor</f>
        <v>#NAME?</v>
      </c>
    </row>
    <row r="19" spans="2:8" x14ac:dyDescent="0.25">
      <c r="B19" s="45" t="s">
        <v>150</v>
      </c>
      <c r="C19" s="46">
        <v>80.848510628622478</v>
      </c>
      <c r="G19" s="4" t="e">
        <f>AVERAGE(PV_Put, PV_Mat)</f>
        <v>#NAME?</v>
      </c>
    </row>
    <row r="21" spans="2:8" x14ac:dyDescent="0.25">
      <c r="B21" s="50" t="s">
        <v>152</v>
      </c>
      <c r="C21" s="49"/>
      <c r="D21" s="49"/>
      <c r="E21" s="49"/>
      <c r="F21" s="49"/>
      <c r="G21" s="49"/>
      <c r="H21" s="49"/>
    </row>
    <row r="22" spans="2:8" x14ac:dyDescent="0.25">
      <c r="B22" s="42" t="s">
        <v>142</v>
      </c>
      <c r="C22" s="42" t="s">
        <v>143</v>
      </c>
      <c r="D22" s="42"/>
      <c r="E22" s="42" t="s">
        <v>144</v>
      </c>
      <c r="F22" s="42"/>
      <c r="G22" s="42" t="s">
        <v>12</v>
      </c>
      <c r="H22" s="42"/>
    </row>
    <row r="23" spans="2:8" ht="25.5" x14ac:dyDescent="0.25">
      <c r="B23" s="1" t="s">
        <v>145</v>
      </c>
      <c r="C23" s="20">
        <v>103</v>
      </c>
      <c r="E23" s="20">
        <v>105.5</v>
      </c>
      <c r="G23" s="4" t="e">
        <f>Term_Sheet_Value</f>
        <v>#NAME?</v>
      </c>
    </row>
    <row r="24" spans="2:8" x14ac:dyDescent="0.25">
      <c r="B24" s="1" t="s">
        <v>146</v>
      </c>
      <c r="C24" s="20">
        <v>4.3499999999999996</v>
      </c>
      <c r="E24" s="20">
        <v>4.4499999999999993</v>
      </c>
      <c r="G24" s="4" t="e">
        <f ca="1">BDP("USOSFR_ BGN","PX LAST")</f>
        <v>#NAME?</v>
      </c>
    </row>
    <row r="25" spans="2:8" x14ac:dyDescent="0.25">
      <c r="B25" s="1" t="s">
        <v>147</v>
      </c>
      <c r="C25" s="20">
        <v>0.8</v>
      </c>
      <c r="E25" s="20">
        <v>0.8</v>
      </c>
    </row>
    <row r="26" spans="2:8" x14ac:dyDescent="0.25">
      <c r="B26" s="1" t="s">
        <v>148</v>
      </c>
      <c r="C26" s="43">
        <v>1.1337653827725831</v>
      </c>
      <c r="E26" s="43">
        <v>1.25892387626539</v>
      </c>
      <c r="G26" s="4" t="e">
        <f>(1+(SOFR+Spread)/100)^T</f>
        <v>#NAME?</v>
      </c>
    </row>
    <row r="27" spans="2:8" x14ac:dyDescent="0.25">
      <c r="B27" s="44" t="s">
        <v>149</v>
      </c>
      <c r="C27" s="32">
        <v>90.847719964881236</v>
      </c>
      <c r="E27" s="32">
        <v>83.801730977544736</v>
      </c>
      <c r="G27" s="4" t="e">
        <f>Put_Price / Discount_Factor</f>
        <v>#NAME?</v>
      </c>
    </row>
    <row r="28" spans="2:8" x14ac:dyDescent="0.25">
      <c r="B28" s="45" t="s">
        <v>150</v>
      </c>
      <c r="C28" s="46">
        <v>87.324725471212986</v>
      </c>
      <c r="G28" s="4" t="e">
        <f>AVERAGE(PV_Put, PV_Mat)</f>
        <v>#NAME?</v>
      </c>
    </row>
    <row r="30" spans="2:8" x14ac:dyDescent="0.25">
      <c r="B30" s="50" t="s">
        <v>153</v>
      </c>
      <c r="C30" s="49"/>
      <c r="D30" s="49"/>
      <c r="E30" s="49"/>
      <c r="F30" s="49"/>
      <c r="G30" s="49"/>
      <c r="H30" s="49"/>
    </row>
    <row r="31" spans="2:8" x14ac:dyDescent="0.25">
      <c r="B31" s="42" t="s">
        <v>142</v>
      </c>
      <c r="C31" s="42" t="s">
        <v>143</v>
      </c>
      <c r="D31" s="42"/>
      <c r="E31" s="42" t="s">
        <v>144</v>
      </c>
      <c r="F31" s="42"/>
      <c r="G31" s="42" t="s">
        <v>12</v>
      </c>
      <c r="H31" s="42"/>
    </row>
    <row r="32" spans="2:8" ht="25.5" x14ac:dyDescent="0.25">
      <c r="B32" s="1" t="s">
        <v>145</v>
      </c>
      <c r="C32" s="20">
        <v>100</v>
      </c>
      <c r="E32" s="20">
        <v>102.5</v>
      </c>
      <c r="G32" s="4" t="e">
        <f>Term_Sheet_Value</f>
        <v>#NAME?</v>
      </c>
    </row>
    <row r="33" spans="2:7" x14ac:dyDescent="0.25">
      <c r="B33" s="1" t="s">
        <v>146</v>
      </c>
      <c r="C33" s="20">
        <v>4.25</v>
      </c>
      <c r="E33" s="20">
        <v>4.3499999999999996</v>
      </c>
      <c r="G33" s="4" t="e">
        <f ca="1">BDP("USOSFR_ BGN","PX LAST")</f>
        <v>#NAME?</v>
      </c>
    </row>
    <row r="34" spans="2:7" x14ac:dyDescent="0.25">
      <c r="B34" s="1" t="s">
        <v>147</v>
      </c>
      <c r="C34" s="20">
        <v>1</v>
      </c>
      <c r="E34" s="20">
        <v>1</v>
      </c>
    </row>
    <row r="35" spans="2:7" x14ac:dyDescent="0.25">
      <c r="B35" s="1" t="s">
        <v>148</v>
      </c>
      <c r="C35" s="43">
        <v>1.1659134531249999</v>
      </c>
      <c r="E35" s="43">
        <v>1.297695204422729</v>
      </c>
      <c r="G35" s="4" t="e">
        <f>(1+(SOFR+Spread)/100)^T</f>
        <v>#NAME?</v>
      </c>
    </row>
    <row r="36" spans="2:7" x14ac:dyDescent="0.25">
      <c r="B36" s="44" t="s">
        <v>149</v>
      </c>
      <c r="C36" s="32">
        <v>85.769659602065502</v>
      </c>
      <c r="E36" s="32">
        <v>78.986190016473429</v>
      </c>
      <c r="G36" s="4" t="e">
        <f>Put_Price / Discount_Factor</f>
        <v>#NAME?</v>
      </c>
    </row>
    <row r="37" spans="2:7" x14ac:dyDescent="0.25">
      <c r="B37" s="45" t="s">
        <v>150</v>
      </c>
      <c r="C37" s="46">
        <v>82.377924809269473</v>
      </c>
      <c r="G37" s="4" t="e">
        <f>AVERAGE(PV_Put, PV_Mat)</f>
        <v>#NAME?</v>
      </c>
    </row>
  </sheetData>
  <mergeCells count="5">
    <mergeCell ref="B21:H21"/>
    <mergeCell ref="B12:H12"/>
    <mergeCell ref="B30:H30"/>
    <mergeCell ref="A1:H1"/>
    <mergeCell ref="B3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A1:H59"/>
  <sheetViews>
    <sheetView showGridLines="0" topLeftCell="A29" zoomScale="160" zoomScaleNormal="160" workbookViewId="0">
      <selection activeCell="G59" sqref="B49:G59"/>
    </sheetView>
  </sheetViews>
  <sheetFormatPr defaultRowHeight="15" x14ac:dyDescent="0.25"/>
  <cols>
    <col min="1" max="1" width="3" customWidth="1"/>
    <col min="2" max="2" width="16" customWidth="1"/>
    <col min="3" max="8" width="14" customWidth="1"/>
  </cols>
  <sheetData>
    <row r="1" spans="1:8" ht="27.95" customHeight="1" x14ac:dyDescent="0.25">
      <c r="A1" s="52" t="s">
        <v>154</v>
      </c>
      <c r="B1" s="49"/>
      <c r="C1" s="49"/>
      <c r="D1" s="49"/>
      <c r="E1" s="49"/>
      <c r="F1" s="49"/>
      <c r="G1" s="49"/>
      <c r="H1" s="49"/>
    </row>
    <row r="3" spans="1:8" x14ac:dyDescent="0.25">
      <c r="B3" s="50" t="s">
        <v>155</v>
      </c>
      <c r="C3" s="49"/>
      <c r="D3" s="49"/>
      <c r="E3" s="49"/>
    </row>
    <row r="4" spans="1:8" x14ac:dyDescent="0.25">
      <c r="B4" s="6" t="s">
        <v>156</v>
      </c>
      <c r="C4" s="6" t="s">
        <v>157</v>
      </c>
      <c r="D4" s="6" t="s">
        <v>158</v>
      </c>
      <c r="E4" s="6"/>
    </row>
    <row r="5" spans="1:8" x14ac:dyDescent="0.25">
      <c r="B5" s="5" t="s">
        <v>159</v>
      </c>
      <c r="C5" s="36" t="s">
        <v>160</v>
      </c>
      <c r="D5" s="27">
        <v>45658</v>
      </c>
    </row>
    <row r="6" spans="1:8" x14ac:dyDescent="0.25">
      <c r="B6" s="47" t="s">
        <v>161</v>
      </c>
      <c r="C6" s="34" t="s">
        <v>162</v>
      </c>
      <c r="D6" s="30">
        <v>45680</v>
      </c>
    </row>
    <row r="7" spans="1:8" x14ac:dyDescent="0.25">
      <c r="B7" s="5" t="s">
        <v>163</v>
      </c>
      <c r="C7" s="36" t="s">
        <v>162</v>
      </c>
      <c r="D7" s="27">
        <v>45681</v>
      </c>
    </row>
    <row r="8" spans="1:8" x14ac:dyDescent="0.25">
      <c r="B8" s="47" t="s">
        <v>164</v>
      </c>
      <c r="C8" s="34" t="s">
        <v>162</v>
      </c>
      <c r="D8" s="30">
        <v>45683</v>
      </c>
    </row>
    <row r="9" spans="1:8" x14ac:dyDescent="0.25">
      <c r="B9" s="5" t="s">
        <v>165</v>
      </c>
      <c r="C9" s="36" t="s">
        <v>162</v>
      </c>
      <c r="D9" s="27">
        <v>45684</v>
      </c>
    </row>
    <row r="10" spans="1:8" x14ac:dyDescent="0.25">
      <c r="B10" s="47" t="s">
        <v>166</v>
      </c>
      <c r="C10" s="34" t="s">
        <v>162</v>
      </c>
      <c r="D10" s="30">
        <v>45685</v>
      </c>
    </row>
    <row r="11" spans="1:8" x14ac:dyDescent="0.25">
      <c r="B11" s="5" t="s">
        <v>167</v>
      </c>
      <c r="C11" s="36" t="s">
        <v>162</v>
      </c>
      <c r="D11" s="27">
        <v>45686</v>
      </c>
    </row>
    <row r="12" spans="1:8" x14ac:dyDescent="0.25">
      <c r="B12" s="47" t="s">
        <v>168</v>
      </c>
      <c r="C12" s="34" t="s">
        <v>162</v>
      </c>
      <c r="D12" s="30">
        <v>45687</v>
      </c>
    </row>
    <row r="13" spans="1:8" x14ac:dyDescent="0.25">
      <c r="B13" s="5" t="s">
        <v>169</v>
      </c>
      <c r="C13" s="36" t="s">
        <v>162</v>
      </c>
      <c r="D13" s="27">
        <v>45688</v>
      </c>
    </row>
    <row r="14" spans="1:8" ht="25.5" x14ac:dyDescent="0.25">
      <c r="B14" s="47" t="s">
        <v>170</v>
      </c>
      <c r="C14" s="34" t="s">
        <v>171</v>
      </c>
      <c r="D14" s="30">
        <v>45716</v>
      </c>
    </row>
    <row r="15" spans="1:8" ht="25.5" x14ac:dyDescent="0.25">
      <c r="B15" s="5" t="s">
        <v>172</v>
      </c>
      <c r="C15" s="36" t="s">
        <v>173</v>
      </c>
      <c r="D15" s="27">
        <v>45750</v>
      </c>
    </row>
    <row r="16" spans="1:8" x14ac:dyDescent="0.25">
      <c r="B16" s="47" t="s">
        <v>174</v>
      </c>
      <c r="C16" s="34" t="s">
        <v>175</v>
      </c>
      <c r="D16" s="30">
        <v>45751</v>
      </c>
    </row>
    <row r="17" spans="2:8" x14ac:dyDescent="0.25">
      <c r="B17" s="5" t="s">
        <v>176</v>
      </c>
      <c r="C17" s="36" t="s">
        <v>177</v>
      </c>
      <c r="D17" s="27">
        <v>45778</v>
      </c>
    </row>
    <row r="18" spans="2:8" ht="25.5" x14ac:dyDescent="0.25">
      <c r="B18" s="47" t="s">
        <v>178</v>
      </c>
      <c r="C18" s="34" t="s">
        <v>179</v>
      </c>
      <c r="D18" s="30">
        <v>45807</v>
      </c>
    </row>
    <row r="19" spans="2:8" ht="25.5" x14ac:dyDescent="0.25">
      <c r="B19" s="5" t="s">
        <v>180</v>
      </c>
      <c r="C19" s="36" t="s">
        <v>181</v>
      </c>
      <c r="D19" s="27">
        <v>45808</v>
      </c>
    </row>
    <row r="20" spans="2:8" ht="25.5" x14ac:dyDescent="0.25">
      <c r="B20" s="47" t="s">
        <v>182</v>
      </c>
      <c r="C20" s="34" t="s">
        <v>183</v>
      </c>
      <c r="D20" s="30">
        <v>45936</v>
      </c>
    </row>
    <row r="21" spans="2:8" x14ac:dyDescent="0.25">
      <c r="B21" s="5" t="s">
        <v>184</v>
      </c>
      <c r="C21" s="36" t="s">
        <v>185</v>
      </c>
      <c r="D21" s="27">
        <v>45940</v>
      </c>
    </row>
    <row r="24" spans="2:8" x14ac:dyDescent="0.25">
      <c r="B24" s="50" t="s">
        <v>186</v>
      </c>
      <c r="C24" s="49"/>
      <c r="D24" s="49"/>
      <c r="E24" s="49"/>
      <c r="F24" s="49"/>
      <c r="G24" s="49"/>
      <c r="H24" s="49"/>
    </row>
    <row r="25" spans="2:8" x14ac:dyDescent="0.25">
      <c r="B25" s="6" t="s">
        <v>187</v>
      </c>
      <c r="C25" s="6" t="s">
        <v>188</v>
      </c>
      <c r="D25" s="6" t="s">
        <v>189</v>
      </c>
      <c r="E25" s="6" t="s">
        <v>190</v>
      </c>
      <c r="F25" s="6" t="s">
        <v>191</v>
      </c>
      <c r="G25" s="6" t="s">
        <v>192</v>
      </c>
      <c r="H25" s="6"/>
    </row>
    <row r="26" spans="2:8" x14ac:dyDescent="0.25">
      <c r="B26" s="1" t="s">
        <v>193</v>
      </c>
      <c r="C26" s="34" t="s">
        <v>194</v>
      </c>
      <c r="D26" s="47" t="s">
        <v>195</v>
      </c>
      <c r="E26" s="47" t="s">
        <v>196</v>
      </c>
      <c r="F26" s="47" t="s">
        <v>197</v>
      </c>
      <c r="G26" s="48" t="s">
        <v>198</v>
      </c>
      <c r="H26" s="49"/>
    </row>
    <row r="27" spans="2:8" x14ac:dyDescent="0.25">
      <c r="B27" s="1" t="s">
        <v>199</v>
      </c>
      <c r="C27" s="34" t="s">
        <v>200</v>
      </c>
      <c r="D27" s="47" t="s">
        <v>195</v>
      </c>
      <c r="E27" s="47" t="s">
        <v>197</v>
      </c>
      <c r="F27" s="47" t="s">
        <v>201</v>
      </c>
      <c r="G27" s="48" t="s">
        <v>202</v>
      </c>
      <c r="H27" s="49"/>
    </row>
    <row r="28" spans="2:8" x14ac:dyDescent="0.25">
      <c r="B28" s="1" t="s">
        <v>203</v>
      </c>
      <c r="C28" s="34" t="s">
        <v>204</v>
      </c>
      <c r="D28" s="47" t="s">
        <v>195</v>
      </c>
      <c r="E28" s="47" t="s">
        <v>197</v>
      </c>
      <c r="F28" s="47" t="s">
        <v>201</v>
      </c>
      <c r="G28" s="48" t="s">
        <v>205</v>
      </c>
      <c r="H28" s="49"/>
    </row>
    <row r="31" spans="2:8" x14ac:dyDescent="0.25">
      <c r="B31" s="50" t="s">
        <v>206</v>
      </c>
      <c r="C31" s="49"/>
      <c r="D31" s="49"/>
      <c r="E31" s="49"/>
      <c r="F31" s="49"/>
    </row>
    <row r="32" spans="2:8" x14ac:dyDescent="0.25">
      <c r="B32" s="6" t="s">
        <v>41</v>
      </c>
      <c r="C32" s="6" t="s">
        <v>207</v>
      </c>
      <c r="D32" s="6" t="s">
        <v>208</v>
      </c>
      <c r="E32" s="6" t="s">
        <v>209</v>
      </c>
      <c r="F32" s="6"/>
    </row>
    <row r="33" spans="2:8" x14ac:dyDescent="0.25">
      <c r="B33" s="24" t="s">
        <v>55</v>
      </c>
      <c r="C33" s="26">
        <v>25.2</v>
      </c>
      <c r="D33" s="26">
        <v>25.2</v>
      </c>
      <c r="E33" s="26"/>
    </row>
    <row r="34" spans="2:8" x14ac:dyDescent="0.25">
      <c r="B34" s="1" t="s">
        <v>54</v>
      </c>
      <c r="C34" s="29">
        <v>27</v>
      </c>
      <c r="D34" s="29">
        <v>27.3</v>
      </c>
      <c r="E34" s="29"/>
    </row>
    <row r="35" spans="2:8" x14ac:dyDescent="0.25">
      <c r="B35" s="24" t="s">
        <v>58</v>
      </c>
      <c r="C35" s="26">
        <v>27.5</v>
      </c>
      <c r="D35" s="26">
        <v>26.3</v>
      </c>
      <c r="E35" s="26"/>
    </row>
    <row r="36" spans="2:8" x14ac:dyDescent="0.25">
      <c r="B36" s="1" t="s">
        <v>56</v>
      </c>
      <c r="C36" s="29">
        <v>40.5</v>
      </c>
      <c r="D36" s="29">
        <v>42.5</v>
      </c>
      <c r="E36" s="29">
        <v>37</v>
      </c>
    </row>
    <row r="37" spans="2:8" x14ac:dyDescent="0.25">
      <c r="B37" s="24" t="s">
        <v>210</v>
      </c>
      <c r="C37" s="26">
        <v>23</v>
      </c>
      <c r="D37" s="26">
        <v>24.5</v>
      </c>
      <c r="E37" s="26"/>
    </row>
    <row r="38" spans="2:8" x14ac:dyDescent="0.25">
      <c r="B38" s="1" t="s">
        <v>61</v>
      </c>
      <c r="C38" s="29">
        <v>29</v>
      </c>
      <c r="D38" s="29">
        <v>30.5</v>
      </c>
      <c r="E38" s="29">
        <v>29</v>
      </c>
    </row>
    <row r="41" spans="2:8" x14ac:dyDescent="0.25">
      <c r="B41" s="50" t="s">
        <v>211</v>
      </c>
      <c r="C41" s="49"/>
      <c r="D41" s="49"/>
      <c r="E41" s="49"/>
    </row>
    <row r="42" spans="2:8" ht="25.5" x14ac:dyDescent="0.25">
      <c r="B42" s="6" t="s">
        <v>18</v>
      </c>
      <c r="C42" s="6" t="s">
        <v>212</v>
      </c>
      <c r="D42" s="6"/>
      <c r="E42" s="6"/>
    </row>
    <row r="43" spans="2:8" x14ac:dyDescent="0.25">
      <c r="B43" s="18" t="s">
        <v>28</v>
      </c>
      <c r="C43" s="34" t="s">
        <v>213</v>
      </c>
    </row>
    <row r="44" spans="2:8" x14ac:dyDescent="0.25">
      <c r="B44" s="18" t="s">
        <v>27</v>
      </c>
      <c r="C44" s="34" t="s">
        <v>214</v>
      </c>
    </row>
    <row r="45" spans="2:8" x14ac:dyDescent="0.25">
      <c r="B45" s="18" t="s">
        <v>26</v>
      </c>
      <c r="C45" s="34" t="s">
        <v>215</v>
      </c>
    </row>
    <row r="48" spans="2:8" x14ac:dyDescent="0.25">
      <c r="B48" s="50" t="s">
        <v>216</v>
      </c>
      <c r="C48" s="49"/>
      <c r="D48" s="49"/>
      <c r="E48" s="49"/>
      <c r="F48" s="49"/>
      <c r="G48" s="49"/>
      <c r="H48" s="49"/>
    </row>
    <row r="49" spans="2:8" x14ac:dyDescent="0.25">
      <c r="B49" s="6" t="s">
        <v>41</v>
      </c>
      <c r="C49" s="6" t="s">
        <v>42</v>
      </c>
      <c r="D49" s="6" t="s">
        <v>87</v>
      </c>
      <c r="E49" s="6" t="s">
        <v>217</v>
      </c>
      <c r="F49" s="6" t="s">
        <v>72</v>
      </c>
      <c r="G49" s="6" t="s">
        <v>218</v>
      </c>
      <c r="H49" s="6"/>
    </row>
    <row r="50" spans="2:8" x14ac:dyDescent="0.25">
      <c r="B50" s="24" t="s">
        <v>53</v>
      </c>
      <c r="C50" s="25">
        <v>30.224</v>
      </c>
      <c r="D50" s="36" t="s">
        <v>93</v>
      </c>
      <c r="E50" s="5" t="s">
        <v>219</v>
      </c>
      <c r="F50" s="27">
        <v>44</v>
      </c>
      <c r="G50" s="5" t="s">
        <v>220</v>
      </c>
    </row>
    <row r="51" spans="2:8" x14ac:dyDescent="0.25">
      <c r="B51" s="1" t="s">
        <v>54</v>
      </c>
      <c r="C51" s="28">
        <v>32.186</v>
      </c>
      <c r="D51" s="34" t="s">
        <v>95</v>
      </c>
      <c r="E51" s="47" t="s">
        <v>221</v>
      </c>
      <c r="F51" s="30">
        <v>35</v>
      </c>
      <c r="G51" s="47" t="s">
        <v>203</v>
      </c>
    </row>
    <row r="52" spans="2:8" x14ac:dyDescent="0.25">
      <c r="B52" s="24" t="s">
        <v>55</v>
      </c>
      <c r="C52" s="25">
        <v>32.055</v>
      </c>
      <c r="D52" s="36" t="s">
        <v>97</v>
      </c>
      <c r="E52" s="5" t="s">
        <v>219</v>
      </c>
      <c r="F52" s="27">
        <v>40</v>
      </c>
      <c r="G52" s="5" t="s">
        <v>220</v>
      </c>
    </row>
    <row r="53" spans="2:8" x14ac:dyDescent="0.25">
      <c r="B53" s="1" t="s">
        <v>56</v>
      </c>
      <c r="C53" s="28">
        <v>32.576000000000001</v>
      </c>
      <c r="D53" s="34" t="s">
        <v>99</v>
      </c>
      <c r="E53" s="47" t="s">
        <v>222</v>
      </c>
      <c r="F53" s="30">
        <v>68</v>
      </c>
      <c r="G53" s="47" t="s">
        <v>220</v>
      </c>
    </row>
    <row r="54" spans="2:8" x14ac:dyDescent="0.25">
      <c r="B54" s="24" t="s">
        <v>57</v>
      </c>
      <c r="C54" s="25">
        <v>27.902000000000001</v>
      </c>
      <c r="D54" s="36" t="s">
        <v>101</v>
      </c>
      <c r="E54" s="5" t="s">
        <v>223</v>
      </c>
      <c r="F54" s="27">
        <v>31</v>
      </c>
      <c r="G54" s="5" t="s">
        <v>220</v>
      </c>
    </row>
    <row r="55" spans="2:8" x14ac:dyDescent="0.25">
      <c r="B55" s="1" t="s">
        <v>58</v>
      </c>
      <c r="C55" s="28">
        <v>30.629000000000001</v>
      </c>
      <c r="D55" s="34" t="s">
        <v>103</v>
      </c>
      <c r="E55" s="47" t="s">
        <v>224</v>
      </c>
      <c r="F55" s="30">
        <v>48</v>
      </c>
      <c r="G55" s="47" t="s">
        <v>220</v>
      </c>
    </row>
    <row r="56" spans="2:8" x14ac:dyDescent="0.25">
      <c r="B56" s="24" t="s">
        <v>59</v>
      </c>
      <c r="C56" s="25">
        <v>32.292999999999999</v>
      </c>
      <c r="D56" s="36" t="s">
        <v>105</v>
      </c>
      <c r="E56" s="5" t="s">
        <v>225</v>
      </c>
      <c r="F56" s="27">
        <v>4</v>
      </c>
      <c r="G56" s="5" t="s">
        <v>220</v>
      </c>
    </row>
    <row r="57" spans="2:8" x14ac:dyDescent="0.25">
      <c r="B57" s="1" t="s">
        <v>60</v>
      </c>
      <c r="C57" s="28">
        <v>32.917000000000002</v>
      </c>
      <c r="D57" s="34" t="s">
        <v>107</v>
      </c>
      <c r="E57" s="47" t="s">
        <v>226</v>
      </c>
      <c r="F57" s="30">
        <v>45</v>
      </c>
      <c r="G57" s="47" t="s">
        <v>220</v>
      </c>
    </row>
    <row r="58" spans="2:8" x14ac:dyDescent="0.25">
      <c r="B58" s="24" t="s">
        <v>61</v>
      </c>
      <c r="C58" s="25">
        <v>31.155000000000001</v>
      </c>
      <c r="D58" s="36" t="s">
        <v>109</v>
      </c>
      <c r="E58" s="5" t="s">
        <v>227</v>
      </c>
      <c r="F58" s="27">
        <v>66</v>
      </c>
      <c r="G58" s="5" t="s">
        <v>220</v>
      </c>
    </row>
    <row r="59" spans="2:8" x14ac:dyDescent="0.25">
      <c r="B59" s="1" t="s">
        <v>62</v>
      </c>
      <c r="C59" s="28">
        <v>31.324999999999999</v>
      </c>
      <c r="D59" s="34" t="s">
        <v>111</v>
      </c>
      <c r="E59" s="47" t="s">
        <v>228</v>
      </c>
      <c r="F59" s="30">
        <v>75</v>
      </c>
      <c r="G59" s="47" t="s">
        <v>220</v>
      </c>
    </row>
  </sheetData>
  <mergeCells count="9">
    <mergeCell ref="B3:E3"/>
    <mergeCell ref="B48:H48"/>
    <mergeCell ref="A1:H1"/>
    <mergeCell ref="G26:H26"/>
    <mergeCell ref="B41:E41"/>
    <mergeCell ref="G27:H27"/>
    <mergeCell ref="B24:H24"/>
    <mergeCell ref="B31:F31"/>
    <mergeCell ref="G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FX &amp; NDF</vt:lpstr>
      <vt:lpstr>CB Monitor</vt:lpstr>
      <vt:lpstr>Swap &amp; Outright</vt:lpstr>
      <vt:lpstr>Inventory &amp; ALLQ</vt:lpstr>
      <vt:lpstr>T-1 &amp; Nuke Bid</vt:lpstr>
      <vt:lpstr>Bond Floor</vt:lpstr>
      <vt:lpstr>Reference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Young Bang</cp:lastModifiedBy>
  <dcterms:created xsi:type="dcterms:W3CDTF">2026-03-10T15:34:40Z</dcterms:created>
  <dcterms:modified xsi:type="dcterms:W3CDTF">2026-03-10T15:36:52Z</dcterms:modified>
</cp:coreProperties>
</file>