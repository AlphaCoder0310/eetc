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Monitor" sheetId="1" state="visible" r:id="rId1"/>
    <sheet name="Rate Curves" sheetId="2" state="visible" r:id="rId2"/>
    <sheet name="Formula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4D9FFF"/>
      <sz val="14"/>
    </font>
    <font>
      <name val="Calibri"/>
      <b val="1"/>
      <color rgb="0000D4AA"/>
      <sz val="11"/>
    </font>
    <font>
      <name val="Calibri"/>
      <b val="1"/>
      <color rgb="00FFFFFF"/>
      <sz val="10"/>
    </font>
    <font>
      <name val="Calibri"/>
      <b val="1"/>
      <color rgb="004D9FFF"/>
      <sz val="10"/>
    </font>
    <font>
      <name val="Calibri"/>
      <color rgb="00B0BEC5"/>
      <sz val="10"/>
    </font>
    <font>
      <name val="Consolas"/>
      <color rgb="00A855F7"/>
      <sz val="9"/>
    </font>
    <font>
      <name val="Calibri"/>
      <b val="1"/>
      <color rgb="0000D4AA"/>
      <sz val="10"/>
    </font>
    <font>
      <name val="Calibri"/>
      <i val="1"/>
      <color rgb="0078909C"/>
      <sz val="9"/>
    </font>
    <font>
      <name val="Calibri"/>
      <b val="1"/>
      <color rgb="00B0BEC5"/>
      <sz val="10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43447"/>
      </patternFill>
    </fill>
    <fill>
      <patternFill patternType="solid">
        <fgColor rgb="001B2A3D"/>
      </patternFill>
    </fill>
  </fills>
  <borders count="6">
    <border>
      <left/>
      <right/>
      <top/>
      <bottom/>
      <diagonal/>
    </border>
    <border>
      <left style="thin">
        <color rgb="0037474F"/>
      </left>
      <right style="thin">
        <color rgb="0037474F"/>
      </right>
      <top style="thin">
        <color rgb="0037474F"/>
      </top>
      <bottom style="thin">
        <color rgb="0037474F"/>
      </bottom>
    </border>
    <border>
      <left/>
      <right/>
      <top style="thin">
        <color rgb="0037474F"/>
      </top>
      <bottom/>
      <diagonal/>
    </border>
    <border>
      <left/>
      <right style="thin">
        <color rgb="0037474F"/>
      </right>
      <top style="thin">
        <color rgb="0037474F"/>
      </top>
      <bottom/>
      <diagonal/>
    </border>
    <border>
      <left/>
      <right/>
      <top style="thin">
        <color rgb="0037474F"/>
      </top>
      <bottom style="thin">
        <color rgb="0037474F"/>
      </bottom>
      <diagonal/>
    </border>
    <border>
      <left/>
      <right style="thin">
        <color rgb="0037474F"/>
      </right>
      <top style="thin">
        <color rgb="0037474F"/>
      </top>
      <bottom style="thin">
        <color rgb="0037474F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1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" fontId="5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2" fontId="5" fillId="3" borderId="1" applyAlignment="1" pivotButton="0" quotePrefix="0" xfId="0">
      <alignment horizontal="center" vertical="center"/>
    </xf>
    <xf numFmtId="1" fontId="6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0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3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166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D9FFF"/>
    <outlinePr summaryBelow="1" summaryRight="1"/>
    <pageSetUpPr/>
  </sheetPr>
  <dimension ref="A1:I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18" customWidth="1" min="5" max="5"/>
    <col width="16" customWidth="1" min="6" max="6"/>
    <col width="18" customWidth="1" min="7" max="7"/>
    <col width="18" customWidth="1" min="8" max="8"/>
    <col width="16" customWidth="1" min="9" max="9"/>
  </cols>
  <sheetData>
    <row r="1" ht="30" customHeight="1">
      <c r="A1" s="1" t="inlineStr">
        <is>
          <t>FX SPOT &amp; FORWARD MONITOR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SPOT RATES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5" t="inlineStr">
        <is>
          <t>Ticker</t>
        </is>
      </c>
      <c r="B4" s="5" t="inlineStr">
        <is>
          <t>Live Price</t>
        </is>
      </c>
      <c r="C4" s="5" t="inlineStr">
        <is>
          <t>Date</t>
        </is>
      </c>
      <c r="D4" s="5" t="inlineStr">
        <is>
          <t>Bloomberg Formula</t>
        </is>
      </c>
      <c r="E4" s="5" t="inlineStr">
        <is>
          <t>T-1 Price</t>
        </is>
      </c>
      <c r="F4" s="5" t="inlineStr">
        <is>
          <t>Change (Pt)</t>
        </is>
      </c>
      <c r="G4" s="5" t="inlineStr">
        <is>
          <t>Change (%)</t>
        </is>
      </c>
      <c r="H4" s="5" t="inlineStr">
        <is>
          <t>Signal</t>
        </is>
      </c>
      <c r="I4" s="5" t="inlineStr">
        <is>
          <t>Notes</t>
        </is>
      </c>
    </row>
    <row r="5">
      <c r="A5" s="6" t="inlineStr">
        <is>
          <t>USDTWD</t>
        </is>
      </c>
      <c r="B5" s="7" t="n">
        <v>32.576</v>
      </c>
      <c r="C5" s="8">
        <f>TODAY()</f>
        <v/>
      </c>
      <c r="D5" s="9">
        <f>@BDP("USDTWD CURNCY","LAST PRICE")</f>
        <v/>
      </c>
      <c r="E5" s="7" t="n">
        <v>32.54</v>
      </c>
      <c r="F5" s="10">
        <f>B5-E5</f>
        <v/>
      </c>
      <c r="G5" s="11">
        <f>B5/E5-1</f>
        <v/>
      </c>
      <c r="H5" s="12" t="inlineStr">
        <is>
          <t>&gt;0 = USD Strengthening</t>
        </is>
      </c>
      <c r="I5" s="13" t="inlineStr">
        <is>
          <t>Adj Factor: 0.6667</t>
        </is>
      </c>
    </row>
    <row r="6">
      <c r="A6" s="14" t="inlineStr">
        <is>
          <t>NTN+3M</t>
        </is>
      </c>
      <c r="B6" s="15" t="n">
        <v>31.727</v>
      </c>
      <c r="C6" s="16" t="inlineStr">
        <is>
          <t>T+3M</t>
        </is>
      </c>
      <c r="D6" s="17">
        <f>@BDP("NTN+3M CURNCY","LAST PRICE")</f>
        <v/>
      </c>
      <c r="E6" s="15" t="n">
        <v>31.71</v>
      </c>
      <c r="F6" s="18">
        <f>B6-E6</f>
        <v/>
      </c>
      <c r="G6" s="19">
        <f>B6/E6-1</f>
        <v/>
      </c>
      <c r="H6" s="16" t="inlineStr"/>
      <c r="I6" s="20" t="inlineStr"/>
    </row>
    <row r="7">
      <c r="A7" s="6" t="inlineStr">
        <is>
          <t>NTN+12M</t>
        </is>
      </c>
      <c r="B7" s="7" t="n">
        <v>31.502</v>
      </c>
      <c r="C7" s="21" t="inlineStr">
        <is>
          <t>T+12M</t>
        </is>
      </c>
      <c r="D7" s="9">
        <f>@BDP("NTN+12M CURNCY","LAST PRICE")</f>
        <v/>
      </c>
      <c r="E7" s="7" t="n">
        <v>31.485</v>
      </c>
      <c r="F7" s="10">
        <f>B7-E7</f>
        <v/>
      </c>
      <c r="G7" s="11">
        <f>B7/E7-1</f>
        <v/>
      </c>
      <c r="H7" s="21" t="inlineStr"/>
      <c r="I7" s="22" t="inlineStr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4" t="inlineStr">
        <is>
          <t>NDF FORWARD CURVE</t>
        </is>
      </c>
      <c r="B9" s="2" t="n"/>
      <c r="C9" s="2" t="n"/>
      <c r="D9" s="2" t="n"/>
      <c r="E9" s="2" t="n"/>
      <c r="F9" s="2" t="n"/>
      <c r="G9" s="23" t="inlineStr">
        <is>
          <t>FX Factor:</t>
        </is>
      </c>
      <c r="H9" s="24" t="n">
        <v>1</v>
      </c>
      <c r="I9" s="2" t="n"/>
    </row>
    <row r="10">
      <c r="A10" s="5" t="inlineStr">
        <is>
          <t>Tenor</t>
        </is>
      </c>
      <c r="B10" s="5" t="inlineStr">
        <is>
          <t>USDTWD NDF</t>
        </is>
      </c>
      <c r="C10" s="5" t="inlineStr">
        <is>
          <t>Bloomberg Formula</t>
        </is>
      </c>
      <c r="D10" s="5" t="inlineStr">
        <is>
          <t>Fwd / Spot</t>
        </is>
      </c>
      <c r="E10" s="5" t="inlineStr">
        <is>
          <t>USGG Yield</t>
        </is>
      </c>
      <c r="F10" s="5" t="inlineStr">
        <is>
          <t>Implied TWD Rate</t>
        </is>
      </c>
      <c r="G10" s="5" t="inlineStr">
        <is>
          <t>Fwd Points</t>
        </is>
      </c>
      <c r="H10" s="5" t="inlineStr">
        <is>
          <t>Ann. Carry (%)</t>
        </is>
      </c>
      <c r="I10" s="5" t="inlineStr">
        <is>
          <t>Log Ratio</t>
        </is>
      </c>
    </row>
    <row r="11">
      <c r="A11" s="25" t="inlineStr">
        <is>
          <t>1M</t>
        </is>
      </c>
      <c r="B11" s="7" t="n">
        <v>32.41</v>
      </c>
      <c r="C11" s="9">
        <f>BXFORWARD("USDTWD","1M","MIDOUTRIGHT","MarketType=NDF")</f>
        <v/>
      </c>
      <c r="D11" s="26">
        <f>B11/$B$5</f>
        <v/>
      </c>
      <c r="E11" s="27" t="n">
        <v>5.31</v>
      </c>
      <c r="F11" s="27" t="n">
        <v>102.72</v>
      </c>
      <c r="G11" s="28">
        <f>(B11-$B$5)*10000</f>
        <v/>
      </c>
      <c r="H11" s="11">
        <f>(B11/$B$5-1)*(12/1)*100</f>
        <v/>
      </c>
      <c r="I11" s="26">
        <f>LN(B11/$B$5)*12/1</f>
        <v/>
      </c>
    </row>
    <row r="12">
      <c r="A12" s="29" t="inlineStr">
        <is>
          <t>3M</t>
        </is>
      </c>
      <c r="B12" s="15" t="n">
        <v>32.295</v>
      </c>
      <c r="C12" s="17">
        <f>BXFORWARD("USDTWD","3M","MIDOUTRIGHT","MarketType=NDF")</f>
        <v/>
      </c>
      <c r="D12" s="30">
        <f>B12/$B$5</f>
        <v/>
      </c>
      <c r="E12" s="31" t="n">
        <v>5.25</v>
      </c>
      <c r="F12" s="32">
        <f>(D12*(1+E12/100)^(3/12)-1)*100</f>
        <v/>
      </c>
      <c r="G12" s="33">
        <f>(B12-$B$5)*10000</f>
        <v/>
      </c>
      <c r="H12" s="19">
        <f>(B12/$B$5-1)*(12/3)*100</f>
        <v/>
      </c>
      <c r="I12" s="30">
        <f>LN(B12/$B$5)*12/3</f>
        <v/>
      </c>
    </row>
    <row r="13">
      <c r="A13" s="25" t="inlineStr">
        <is>
          <t>12M</t>
        </is>
      </c>
      <c r="B13" s="7" t="n">
        <v>31.502</v>
      </c>
      <c r="C13" s="9">
        <f>BXFORWARD("USDTWD","12M","MIDOUTRIGHT","MarketType=NDF")</f>
        <v/>
      </c>
      <c r="D13" s="26">
        <f>B13/$B$5</f>
        <v/>
      </c>
      <c r="E13" s="27" t="n">
        <v>4.85</v>
      </c>
      <c r="F13" s="34">
        <f>(D13*(1+E13/100)^(12/12)-1)*100</f>
        <v/>
      </c>
      <c r="G13" s="28">
        <f>(B13-$B$5)*10000</f>
        <v/>
      </c>
      <c r="H13" s="11">
        <f>(B13/$B$5-1)*(12/12)*100</f>
        <v/>
      </c>
      <c r="I13" s="26">
        <f>LN(B13/$B$5)*12/12</f>
        <v/>
      </c>
    </row>
    <row r="14">
      <c r="A14" s="29" t="inlineStr">
        <is>
          <t>24M</t>
        </is>
      </c>
      <c r="B14" s="15" t="n">
        <v>30.85</v>
      </c>
      <c r="C14" s="17">
        <f>BXFORWARD("USDTWD","24M","MIDOUTRIGHT","MarketType=NDF")</f>
        <v/>
      </c>
      <c r="D14" s="30">
        <f>B14/$B$5</f>
        <v/>
      </c>
      <c r="E14" s="31" t="n">
        <v>4.6</v>
      </c>
      <c r="F14" s="32">
        <f>((B14/$B$5)^(12/24)-1)*100+E14</f>
        <v/>
      </c>
      <c r="G14" s="33">
        <f>(B14-$B$5)*10000</f>
        <v/>
      </c>
      <c r="H14" s="19">
        <f>(B14/$B$5-1)*(12/24)*100</f>
        <v/>
      </c>
      <c r="I14" s="30">
        <f>LN(B14/$B$5)*12/24</f>
        <v/>
      </c>
    </row>
    <row r="15">
      <c r="A15" s="25" t="inlineStr">
        <is>
          <t>36M</t>
        </is>
      </c>
      <c r="B15" s="7" t="n">
        <v>30.31</v>
      </c>
      <c r="C15" s="9">
        <f>BXFORWARD("USDTWD","36M","MIDOUTRIGHT","MarketType=NDF")</f>
        <v/>
      </c>
      <c r="D15" s="26">
        <f>B15/$B$5</f>
        <v/>
      </c>
      <c r="E15" s="27" t="n">
        <v>4.4</v>
      </c>
      <c r="F15" s="34">
        <f>((B15/$B$5)^(12/36)-1)*100+E15</f>
        <v/>
      </c>
      <c r="G15" s="28">
        <f>(B15-$B$5)*10000</f>
        <v/>
      </c>
      <c r="H15" s="11">
        <f>(B15/$B$5-1)*(12/36)*100</f>
        <v/>
      </c>
      <c r="I15" s="26">
        <f>LN(B15/$B$5)*12/36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4" t="inlineStr">
        <is>
          <t>FX IMPACT ON DELTA HEDGES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5" t="inlineStr">
        <is>
          <t>Delta</t>
        </is>
      </c>
      <c r="B19" s="5" t="inlineStr">
        <is>
          <t>Underlying</t>
        </is>
      </c>
      <c r="C19" s="5" t="inlineStr">
        <is>
          <t>Stock %</t>
        </is>
      </c>
      <c r="D19" s="5" t="inlineStr">
        <is>
          <t>Notional (USD)</t>
        </is>
      </c>
      <c r="E19" s="5" t="inlineStr">
        <is>
          <t>TWD Line (Nuke)</t>
        </is>
      </c>
      <c r="F19" s="5" t="inlineStr">
        <is>
          <t>FX Impact</t>
        </is>
      </c>
      <c r="G19" s="5" t="inlineStr">
        <is>
          <t>Net Impact</t>
        </is>
      </c>
      <c r="H19" s="5" t="inlineStr">
        <is>
          <t>Name</t>
        </is>
      </c>
      <c r="I19" s="5" t="inlineStr"/>
    </row>
    <row r="20">
      <c r="A20" s="27" t="n">
        <v>-0.75</v>
      </c>
      <c r="B20" s="35" t="inlineStr">
        <is>
          <t>6669.TT</t>
        </is>
      </c>
      <c r="C20" s="36" t="n">
        <v>-0.55</v>
      </c>
      <c r="D20" s="37" t="n">
        <v>-412500</v>
      </c>
      <c r="E20" s="37" t="n">
        <v>-1710</v>
      </c>
      <c r="F20" s="38">
        <f>E20*F5/10000</f>
        <v/>
      </c>
      <c r="G20" s="38">
        <f>D20+F20</f>
        <v/>
      </c>
      <c r="H20" s="22" t="inlineStr">
        <is>
          <t>Wiwynn CLZCB</t>
        </is>
      </c>
      <c r="I20" s="39" t="n"/>
    </row>
    <row r="21">
      <c r="A21" s="31" t="n">
        <v>-0.65</v>
      </c>
      <c r="B21" s="40" t="inlineStr">
        <is>
          <t>2330.TT</t>
        </is>
      </c>
      <c r="C21" s="41" t="n">
        <v>-0.4</v>
      </c>
      <c r="D21" s="42" t="n">
        <v>-260000</v>
      </c>
      <c r="E21" s="42" t="n">
        <v>-1650</v>
      </c>
      <c r="F21" s="43">
        <f>E21*F5/10000</f>
        <v/>
      </c>
      <c r="G21" s="43">
        <f>D21+F21</f>
        <v/>
      </c>
      <c r="H21" s="20" t="inlineStr">
        <is>
          <t>TSMC CB (example)</t>
        </is>
      </c>
      <c r="I21" s="3" t="n"/>
    </row>
    <row r="22">
      <c r="A22" s="27" t="n">
        <v>-0.8</v>
      </c>
      <c r="B22" s="35" t="inlineStr">
        <is>
          <t>2454.TT</t>
        </is>
      </c>
      <c r="C22" s="36" t="n">
        <v>-0.6</v>
      </c>
      <c r="D22" s="37" t="n">
        <v>-480000</v>
      </c>
      <c r="E22" s="37" t="n">
        <v>-2114</v>
      </c>
      <c r="F22" s="38">
        <f>E22*F5/10000</f>
        <v/>
      </c>
      <c r="G22" s="38">
        <f>D22+F22</f>
        <v/>
      </c>
      <c r="H22" s="22" t="inlineStr">
        <is>
          <t>MediaTek CB (example)</t>
        </is>
      </c>
      <c r="I22" s="39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44" t="inlineStr">
        <is>
          <t>Note: Bloomberg formulas (BDP, BDH, BXFORWARD) require an active Bloomberg Terminal connection. Replace with live data feeds or manual inputs as needed.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</row>
  </sheetData>
  <mergeCells count="5">
    <mergeCell ref="A1:I1"/>
    <mergeCell ref="A9:C9"/>
    <mergeCell ref="A18:C18"/>
    <mergeCell ref="A3:C3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4AA"/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8" customWidth="1" min="4" max="4"/>
    <col width="18" customWidth="1" min="5" max="5"/>
    <col width="16" customWidth="1" min="6" max="6"/>
    <col width="18" customWidth="1" min="7" max="7"/>
  </cols>
  <sheetData>
    <row r="1" ht="30" customHeight="1">
      <c r="A1" s="1" t="inlineStr">
        <is>
          <t>INTEREST RATE &amp; IMPLIED RATE DASHBOARD</t>
        </is>
      </c>
      <c r="B1" s="2" t="n"/>
      <c r="C1" s="2" t="n"/>
      <c r="D1" s="2" t="n"/>
      <c r="E1" s="2" t="n"/>
      <c r="F1" s="2" t="n"/>
      <c r="G1" s="2" t="n"/>
    </row>
    <row r="2">
      <c r="A2" s="3" t="n"/>
      <c r="B2" s="3" t="n"/>
      <c r="C2" s="3" t="n"/>
      <c r="D2" s="3" t="n"/>
      <c r="E2" s="3" t="n"/>
      <c r="F2" s="3" t="n"/>
      <c r="G2" s="3" t="n"/>
    </row>
    <row r="3">
      <c r="A3" s="5" t="inlineStr">
        <is>
          <t>Tenor</t>
        </is>
      </c>
      <c r="B3" s="5" t="inlineStr">
        <is>
          <t>USGG Yield (%)</t>
        </is>
      </c>
      <c r="C3" s="5" t="inlineStr">
        <is>
          <t>BBG Ticker</t>
        </is>
      </c>
      <c r="D3" s="5" t="inlineStr">
        <is>
          <t>TWD IRS (%)</t>
        </is>
      </c>
      <c r="E3" s="5" t="inlineStr">
        <is>
          <t>Rate Diff (bps)</t>
        </is>
      </c>
      <c r="F3" s="5" t="inlineStr">
        <is>
          <t>Implied Fwd Pts</t>
        </is>
      </c>
      <c r="G3" s="5" t="inlineStr">
        <is>
          <t>CIP Deviation (bps)</t>
        </is>
      </c>
    </row>
    <row r="4">
      <c r="A4" s="25" t="inlineStr">
        <is>
          <t>1M</t>
        </is>
      </c>
      <c r="B4" s="27" t="n">
        <v>5.31</v>
      </c>
      <c r="C4" s="8" t="inlineStr">
        <is>
          <t>USGG1M Index</t>
        </is>
      </c>
      <c r="D4" s="27" t="n">
        <v>2.1</v>
      </c>
      <c r="E4" s="28">
        <f>(B4-D4)*100</f>
        <v/>
      </c>
      <c r="F4" s="28">
        <f>'FX Monitor'!$B$5*(D4-B4)/100*10000</f>
        <v/>
      </c>
      <c r="G4" s="45" t="inlineStr"/>
    </row>
    <row r="5">
      <c r="A5" s="29" t="inlineStr">
        <is>
          <t>3M</t>
        </is>
      </c>
      <c r="B5" s="31" t="n">
        <v>5.25</v>
      </c>
      <c r="C5" s="46" t="inlineStr">
        <is>
          <t>USGG3M Index</t>
        </is>
      </c>
      <c r="D5" s="31" t="n">
        <v>2.05</v>
      </c>
      <c r="E5" s="33">
        <f>(B5-D5)*100</f>
        <v/>
      </c>
      <c r="F5" s="33">
        <f>'FX Monitor'!$B$5*(D5-B5)/100*10000</f>
        <v/>
      </c>
      <c r="G5" s="47" t="inlineStr"/>
    </row>
    <row r="6">
      <c r="A6" s="25" t="inlineStr">
        <is>
          <t>6M</t>
        </is>
      </c>
      <c r="B6" s="27" t="n">
        <v>5.1</v>
      </c>
      <c r="C6" s="8" t="inlineStr">
        <is>
          <t>USGG6M Index</t>
        </is>
      </c>
      <c r="D6" s="27" t="n">
        <v>1.95</v>
      </c>
      <c r="E6" s="28">
        <f>(B6-D6)*100</f>
        <v/>
      </c>
      <c r="F6" s="28">
        <f>'FX Monitor'!$B$5*(D6-B6)/100*10000</f>
        <v/>
      </c>
      <c r="G6" s="45" t="inlineStr"/>
    </row>
    <row r="7">
      <c r="A7" s="29" t="inlineStr">
        <is>
          <t>1Y</t>
        </is>
      </c>
      <c r="B7" s="31" t="n">
        <v>4.85</v>
      </c>
      <c r="C7" s="46" t="inlineStr">
        <is>
          <t>USOSFR1 BGN Curncy</t>
        </is>
      </c>
      <c r="D7" s="31" t="n">
        <v>1.8</v>
      </c>
      <c r="E7" s="33">
        <f>(B7-D7)*100</f>
        <v/>
      </c>
      <c r="F7" s="33">
        <f>'FX Monitor'!$B$5*(D7-B7)/100*10000</f>
        <v/>
      </c>
      <c r="G7" s="47" t="inlineStr"/>
    </row>
    <row r="8">
      <c r="A8" s="25" t="inlineStr">
        <is>
          <t>2Y</t>
        </is>
      </c>
      <c r="B8" s="27" t="n">
        <v>4.6</v>
      </c>
      <c r="C8" s="8" t="inlineStr">
        <is>
          <t>USOSFR2 BGN Curncy</t>
        </is>
      </c>
      <c r="D8" s="27" t="n">
        <v>1.7</v>
      </c>
      <c r="E8" s="28">
        <f>(B8-D8)*100</f>
        <v/>
      </c>
      <c r="F8" s="28">
        <f>'FX Monitor'!$B$5*(D8-B8)/100*10000</f>
        <v/>
      </c>
      <c r="G8" s="45" t="inlineStr"/>
    </row>
    <row r="9">
      <c r="A9" s="29" t="inlineStr">
        <is>
          <t>3Y</t>
        </is>
      </c>
      <c r="B9" s="31" t="n">
        <v>4.4</v>
      </c>
      <c r="C9" s="46" t="inlineStr">
        <is>
          <t>USOSFR3 BGN Curncy</t>
        </is>
      </c>
      <c r="D9" s="31" t="n">
        <v>1.65</v>
      </c>
      <c r="E9" s="33">
        <f>(B9-D9)*100</f>
        <v/>
      </c>
      <c r="F9" s="33">
        <f>'FX Monitor'!$B$5*(D9-B9)/100*10000</f>
        <v/>
      </c>
      <c r="G9" s="47" t="inlineStr"/>
    </row>
    <row r="10">
      <c r="A10" s="25" t="inlineStr">
        <is>
          <t>5Y</t>
        </is>
      </c>
      <c r="B10" s="27" t="n">
        <v>4.2</v>
      </c>
      <c r="C10" s="8" t="inlineStr">
        <is>
          <t>USOSFR5 BGN Curncy</t>
        </is>
      </c>
      <c r="D10" s="27" t="n">
        <v>1.6</v>
      </c>
      <c r="E10" s="28">
        <f>(B10-D10)*100</f>
        <v/>
      </c>
      <c r="F10" s="28">
        <f>'FX Monitor'!$B$5*(D10-B10)/100*10000</f>
        <v/>
      </c>
      <c r="G10" s="45" t="inlineStr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55F7"/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40" customWidth="1" min="3" max="3"/>
  </cols>
  <sheetData>
    <row r="1" ht="30" customHeight="1">
      <c r="A1" s="1" t="inlineStr">
        <is>
          <t>BLOOMBERG FORMULA REFERENCE</t>
        </is>
      </c>
      <c r="B1" s="2" t="n"/>
      <c r="C1" s="2" t="n"/>
    </row>
    <row r="2">
      <c r="A2" s="3" t="n"/>
      <c r="B2" s="3" t="n"/>
      <c r="C2" s="3" t="n"/>
    </row>
    <row r="3">
      <c r="A3" s="5" t="inlineStr">
        <is>
          <t>Purpose</t>
        </is>
      </c>
      <c r="B3" s="5" t="inlineStr">
        <is>
          <t>Formula</t>
        </is>
      </c>
      <c r="C3" s="5" t="inlineStr">
        <is>
          <t>Notes</t>
        </is>
      </c>
    </row>
    <row r="4">
      <c r="A4" s="48" t="inlineStr">
        <is>
          <t>Spot USDTWD</t>
        </is>
      </c>
      <c r="B4" s="9">
        <f>@BDP("USDTWD CURNCY","LAST PRICE")</f>
        <v/>
      </c>
      <c r="C4" s="13" t="inlineStr">
        <is>
          <t>Live spot rate</t>
        </is>
      </c>
    </row>
    <row r="5">
      <c r="A5" s="49" t="inlineStr">
        <is>
          <t>T-1 Spot (previous business day)</t>
        </is>
      </c>
      <c r="B5" s="17">
        <f>WORKDAY(TODAY(),-1,$AP$3:$AP$22)</f>
        <v/>
      </c>
      <c r="C5" s="44" t="inlineStr">
        <is>
          <t>Requires holiday calendar in $AP$3:$AP$22</t>
        </is>
      </c>
    </row>
    <row r="6">
      <c r="A6" s="48" t="inlineStr">
        <is>
          <t>Historical Close</t>
        </is>
      </c>
      <c r="B6" s="9">
        <f>@BDH("USDTWD CURNCY","Close",TEXT(date,"YYYY-MM-DD"))</f>
        <v/>
      </c>
      <c r="C6" s="13" t="inlineStr">
        <is>
          <t>Single-date historical pull</t>
        </is>
      </c>
    </row>
    <row r="7">
      <c r="A7" s="49" t="inlineStr">
        <is>
          <t>NDF Forward (1M example)</t>
        </is>
      </c>
      <c r="B7" s="17">
        <f>BXFORWARD("USDTWD","1M","MIDOUTRIGHT","MarketType=NDF")</f>
        <v/>
      </c>
      <c r="C7" s="44" t="inlineStr">
        <is>
          <t>Mid outright NDF rate</t>
        </is>
      </c>
    </row>
    <row r="8">
      <c r="A8" s="48" t="inlineStr">
        <is>
          <t>NTN Forward Price</t>
        </is>
      </c>
      <c r="B8" s="9">
        <f>@BDP("NTN+3M CURNCY","LAST PRICE")</f>
        <v/>
      </c>
      <c r="C8" s="13" t="inlineStr">
        <is>
          <t>Non-deliverable TWD forward</t>
        </is>
      </c>
    </row>
    <row r="9">
      <c r="A9" s="49" t="inlineStr">
        <is>
          <t>USGG Yield (1M)</t>
        </is>
      </c>
      <c r="B9" s="17">
        <f>BDP("USGG1M Index","px last")</f>
        <v/>
      </c>
      <c r="C9" s="44" t="inlineStr">
        <is>
          <t>US Treasury yield</t>
        </is>
      </c>
    </row>
    <row r="10">
      <c r="A10" s="48" t="inlineStr">
        <is>
          <t>SOFR Swap Rate (1Y)</t>
        </is>
      </c>
      <c r="B10" s="9">
        <f>BDP("USOSFR1 BGN Curncy","px last")</f>
        <v/>
      </c>
      <c r="C10" s="13" t="inlineStr">
        <is>
          <t>USD OIS/SOFR swap rate</t>
        </is>
      </c>
    </row>
    <row r="11">
      <c r="A11" s="49" t="inlineStr">
        <is>
          <t>Implied TWD Rate (CIP)</t>
        </is>
      </c>
      <c r="B11" s="17">
        <f>(Fwd/Spot)*(1+r_USD)^T - 1</f>
        <v/>
      </c>
      <c r="C11" s="44" t="inlineStr">
        <is>
          <t>Covered interest rate parity derivation</t>
        </is>
      </c>
    </row>
    <row r="12">
      <c r="A12" s="48" t="inlineStr">
        <is>
          <t>Daily Change</t>
        </is>
      </c>
      <c r="B12" s="9">
        <f>B_today / B_yesterday - 1</f>
        <v/>
      </c>
      <c r="C12" s="13" t="inlineStr">
        <is>
          <t>Percentage change calculation</t>
        </is>
      </c>
    </row>
    <row r="13">
      <c r="A13" s="49" t="inlineStr">
        <is>
          <t>Forward Points</t>
        </is>
      </c>
      <c r="B13" s="17">
        <f>(NDF - Spot) * 10,000</f>
        <v/>
      </c>
      <c r="C13" s="44" t="inlineStr">
        <is>
          <t>Standard market convention</t>
        </is>
      </c>
    </row>
    <row r="14">
      <c r="A14" s="48" t="inlineStr">
        <is>
          <t>Annualised Carry</t>
        </is>
      </c>
      <c r="B14" s="9">
        <f>(Fwd/Spot - 1) * (12/months) * 100</f>
        <v/>
      </c>
      <c r="C14" s="13" t="inlineStr">
        <is>
          <t>Annualise the forward premium/discount</t>
        </is>
      </c>
    </row>
    <row r="15">
      <c r="A15" s="49" t="inlineStr">
        <is>
          <t>Log Forward Ratio</t>
        </is>
      </c>
      <c r="B15" s="17">
        <f>LN(Fwd/Spot) * 12/months</f>
        <v/>
      </c>
      <c r="C15" s="44" t="inlineStr">
        <is>
          <t>Continuous compounding equivalent</t>
        </is>
      </c>
    </row>
    <row r="16">
      <c r="A16" s="3" t="n"/>
      <c r="B16" s="3" t="n"/>
      <c r="C16" s="3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2026-03-09T15:20:53Z</dcterms:created>
  <dcterms:modified xsi:type="dcterms:W3CDTF">2026-03-09T15:20:53Z</dcterms:modified>
</cp:coreProperties>
</file>