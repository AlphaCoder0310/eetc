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wner\Desktop\QuantTrading\ConversionTrading\"/>
    </mc:Choice>
  </mc:AlternateContent>
  <xr:revisionPtr revIDLastSave="0" documentId="13_ncr:1_{59E2D99E-93CB-4E4C-BA15-FCA37DAEB491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CB_Arb_PnL" sheetId="1" r:id="rId1"/>
  </sheets>
  <definedNames>
    <definedName name="_xlnm.Print_Area" localSheetId="0">CB_Arb_PnL!$A$1:$E$136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B53" i="1"/>
  <c r="E88" i="1" s="1"/>
  <c r="B116" i="1"/>
  <c r="B106" i="1"/>
  <c r="B121" i="1" s="1"/>
  <c r="E94" i="1"/>
  <c r="D94" i="1"/>
  <c r="C94" i="1"/>
  <c r="B94" i="1"/>
  <c r="E79" i="1"/>
  <c r="D79" i="1"/>
  <c r="C79" i="1"/>
  <c r="B79" i="1"/>
  <c r="D76" i="1"/>
  <c r="E75" i="1"/>
  <c r="E76" i="1" s="1"/>
  <c r="D75" i="1"/>
  <c r="C75" i="1"/>
  <c r="C76" i="1" s="1"/>
  <c r="B75" i="1"/>
  <c r="B76" i="1" s="1"/>
  <c r="B57" i="1"/>
  <c r="B58" i="1" s="1"/>
  <c r="B55" i="1"/>
  <c r="B48" i="1"/>
  <c r="B43" i="1"/>
  <c r="B44" i="1" s="1"/>
  <c r="B41" i="1"/>
  <c r="D78" i="1" s="1"/>
  <c r="B40" i="1"/>
  <c r="B38" i="1"/>
  <c r="B39" i="1" s="1"/>
  <c r="B37" i="1"/>
  <c r="B42" i="1" s="1"/>
  <c r="B34" i="1"/>
  <c r="B33" i="1"/>
  <c r="B32" i="1"/>
  <c r="B31" i="1"/>
  <c r="B25" i="1"/>
  <c r="E81" i="1" s="1"/>
  <c r="B24" i="1"/>
  <c r="B56" i="1" s="1"/>
  <c r="B15" i="1"/>
  <c r="C88" i="1" l="1"/>
  <c r="D88" i="1"/>
  <c r="B88" i="1"/>
  <c r="D86" i="1"/>
  <c r="B86" i="1"/>
  <c r="B52" i="1"/>
  <c r="E86" i="1"/>
  <c r="C86" i="1"/>
  <c r="E78" i="1"/>
  <c r="B114" i="1"/>
  <c r="B119" i="1"/>
  <c r="B122" i="1" s="1"/>
  <c r="B131" i="1" s="1"/>
  <c r="B81" i="1"/>
  <c r="C81" i="1"/>
  <c r="B77" i="1"/>
  <c r="B117" i="1"/>
  <c r="D81" i="1"/>
  <c r="B47" i="1"/>
  <c r="B50" i="1"/>
  <c r="E77" i="1"/>
  <c r="B78" i="1"/>
  <c r="D77" i="1"/>
  <c r="C78" i="1"/>
  <c r="B45" i="1"/>
  <c r="B46" i="1" s="1"/>
  <c r="C77" i="1"/>
  <c r="B120" i="1" l="1"/>
  <c r="B115" i="1"/>
  <c r="B111" i="1"/>
  <c r="B123" i="1" s="1"/>
  <c r="B124" i="1" s="1"/>
  <c r="B127" i="1" s="1"/>
  <c r="D95" i="1"/>
  <c r="E87" i="1"/>
  <c r="C87" i="1"/>
  <c r="B87" i="1"/>
  <c r="C95" i="1"/>
  <c r="D87" i="1"/>
  <c r="B62" i="1"/>
  <c r="B95" i="1"/>
  <c r="B59" i="1"/>
  <c r="B63" i="1"/>
  <c r="E95" i="1"/>
  <c r="C83" i="1"/>
  <c r="C84" i="1" s="1"/>
  <c r="B83" i="1"/>
  <c r="E96" i="1"/>
  <c r="B96" i="1"/>
  <c r="D96" i="1"/>
  <c r="C96" i="1"/>
  <c r="B103" i="1"/>
  <c r="E83" i="1"/>
  <c r="E84" i="1" s="1"/>
  <c r="B133" i="1"/>
  <c r="B49" i="1"/>
  <c r="B51" i="1" s="1"/>
  <c r="B128" i="1"/>
  <c r="B129" i="1" s="1"/>
  <c r="C80" i="1"/>
  <c r="D80" i="1"/>
  <c r="D83" i="1" s="1"/>
  <c r="D84" i="1" s="1"/>
  <c r="B80" i="1"/>
  <c r="E80" i="1"/>
  <c r="D82" i="1" l="1"/>
  <c r="B82" i="1"/>
  <c r="B67" i="1" s="1"/>
  <c r="E82" i="1"/>
  <c r="E85" i="1" s="1"/>
  <c r="E89" i="1" s="1"/>
  <c r="E90" i="1" s="1"/>
  <c r="B130" i="1"/>
  <c r="B132" i="1" s="1"/>
  <c r="B134" i="1" s="1"/>
  <c r="B135" i="1" s="1"/>
  <c r="C82" i="1"/>
  <c r="C85" i="1" s="1"/>
  <c r="C89" i="1" s="1"/>
  <c r="C90" i="1" s="1"/>
  <c r="B84" i="1"/>
  <c r="B85" i="1" s="1"/>
  <c r="B66" i="1"/>
  <c r="D85" i="1"/>
  <c r="D89" i="1" s="1"/>
  <c r="D90" i="1" s="1"/>
  <c r="B118" i="1"/>
  <c r="B136" i="1"/>
  <c r="C97" i="1" l="1"/>
  <c r="C91" i="1"/>
  <c r="E97" i="1"/>
  <c r="E91" i="1"/>
  <c r="B101" i="1"/>
  <c r="B100" i="1"/>
  <c r="B89" i="1"/>
  <c r="B90" i="1" s="1"/>
  <c r="D91" i="1"/>
  <c r="D97" i="1"/>
  <c r="B102" i="1" l="1"/>
  <c r="B5" i="1"/>
  <c r="B6" i="1" s="1"/>
  <c r="B97" i="1"/>
  <c r="B91" i="1"/>
</calcChain>
</file>

<file path=xl/sharedStrings.xml><?xml version="1.0" encoding="utf-8"?>
<sst xmlns="http://schemas.openxmlformats.org/spreadsheetml/2006/main" count="137" uniqueCount="137">
  <si>
    <t>CONVERTIBLE BOND ARBITRAGE — P&amp;L WORKSHEET</t>
  </si>
  <si>
    <t>HEADLINE P&amp;L</t>
  </si>
  <si>
    <t>LEGEND</t>
  </si>
  <si>
    <t>Headline scenario →</t>
  </si>
  <si>
    <t>A</t>
  </si>
  <si>
    <t>Yellow = user input</t>
  </si>
  <si>
    <t>Headline Net P&amp;L (USD)</t>
  </si>
  <si>
    <t>Grey = calculated (locked)</t>
  </si>
  <si>
    <t>Headline Net P&amp;L (% of face)</t>
  </si>
  <si>
    <t>Red = validation flag</t>
  </si>
  <si>
    <t>SECTION 1 — USER INPUTS</t>
  </si>
  <si>
    <t>CB face (USD)</t>
  </si>
  <si>
    <t>Min piece (USD)</t>
  </si>
  <si>
    <t>Increment (USD)</t>
  </si>
  <si>
    <t>Conversion price (KRW)</t>
  </si>
  <si>
    <t>Conversion ratio (shares / min piece)</t>
  </si>
  <si>
    <t>Bid (discount to parity, %)</t>
  </si>
  <si>
    <t>Parity % (live; formula default, override OK)</t>
  </si>
  <si>
    <t>Delta</t>
  </si>
  <si>
    <t>Entry P_stock (KRW)</t>
  </si>
  <si>
    <t>Entry FX spot (USDKRW, also NDF contracted rate)</t>
  </si>
  <si>
    <t>Futures contract multiplier</t>
  </si>
  <si>
    <t>Funding cost (% p.a.)</t>
  </si>
  <si>
    <t>Days to conversion</t>
  </si>
  <si>
    <t>Day-count convention</t>
  </si>
  <si>
    <t>Trade date</t>
  </si>
  <si>
    <t>Conversion date (= trade date + days)</t>
  </si>
  <si>
    <t>Hedge instrument (NDF if days&gt;30 else SPOT; override OK)</t>
  </si>
  <si>
    <t>Coupon rate (% p.a.)</t>
  </si>
  <si>
    <t>Coupon frequency (per year; 1=annual, 2=semi, 4=qtr)</t>
  </si>
  <si>
    <t>1st coupon date (on or after trade date)</t>
  </si>
  <si>
    <t>Validation</t>
  </si>
  <si>
    <t>CB face is multiple of min piece</t>
  </si>
  <si>
    <t>CB face ≥ min piece</t>
  </si>
  <si>
    <t>0 &lt; Delta ≤ 100%</t>
  </si>
  <si>
    <t>Days to conversion &gt; 0</t>
  </si>
  <si>
    <t>SECTION 2 — DERIVED SETUP</t>
  </si>
  <si>
    <t>Number of bonds</t>
  </si>
  <si>
    <t>CB purchase price (% of parity factor)</t>
  </si>
  <si>
    <t>CB cash outlay (USD)</t>
  </si>
  <si>
    <t>Estimated P&amp;L at entry (USD)</t>
  </si>
  <si>
    <t>Total shares deliverable (ROUNDDOWN)</t>
  </si>
  <si>
    <t>Fractional share residual (cash-settled)</t>
  </si>
  <si>
    <t>USD equity equivalent</t>
  </si>
  <si>
    <t>Shares (identity-derived, info)</t>
  </si>
  <si>
    <t>Short futures contracts</t>
  </si>
  <si>
    <t>Hedged shares</t>
  </si>
  <si>
    <t>Unhedged residual shares</t>
  </si>
  <si>
    <t>Short futures entry price</t>
  </si>
  <si>
    <t>NDF short notional (KRW)</t>
  </si>
  <si>
    <t>NDF contracted rate (n/a if SPOT)</t>
  </si>
  <si>
    <t>NDF implied USD (reference, KRW notional / entry FX)</t>
  </si>
  <si>
    <t>Funding cost (USD) — full tenor</t>
  </si>
  <si>
    <t>Total coupon over tenor (USD)</t>
  </si>
  <si>
    <t>Coupon per period (USD; face × rate / freq)</t>
  </si>
  <si>
    <t>Days from trade to 1st coupon</t>
  </si>
  <si>
    <t>Coupons paid during hold (count)</t>
  </si>
  <si>
    <t>Last coupon date on/before trade (schedule-derived)</t>
  </si>
  <si>
    <t>Accrued coupon at trade (USD; dirty-price portion)</t>
  </si>
  <si>
    <t>Break-even edge (USD, entry P&amp;L − funding + coupon)</t>
  </si>
  <si>
    <t>Funding breakdown</t>
  </si>
  <si>
    <t>Daily funding cost (USD)</t>
  </si>
  <si>
    <t>Funding as % of gross edge</t>
  </si>
  <si>
    <t>Break-even diagnostics (Scenario A basis)</t>
  </si>
  <si>
    <t>Break-even FX (invariance at Δ=100% → negative = no physical breakeven)</t>
  </si>
  <si>
    <t>Break-even P_stock (KRW; requires unhedged residual)</t>
  </si>
  <si>
    <t>SECTION 3 — SCENARIO ANALYSIS (unwind at horizon)</t>
  </si>
  <si>
    <t>Scenario</t>
  </si>
  <si>
    <t>Scenario A</t>
  </si>
  <si>
    <t>Scenario B</t>
  </si>
  <si>
    <t>Scenario C</t>
  </si>
  <si>
    <t>Scenario Custom</t>
  </si>
  <si>
    <t>Scenario name</t>
  </si>
  <si>
    <t>Stock +ve, FX flat</t>
  </si>
  <si>
    <t>Stock +ve, KRW weaker</t>
  </si>
  <si>
    <t>Stock −ve, KRW stronger</t>
  </si>
  <si>
    <t>User-defined</t>
  </si>
  <si>
    <t>Live P_stock (KRW)</t>
  </si>
  <si>
    <t>Live FX spot (USDKRW, used for KRW→USD stock/futures)</t>
  </si>
  <si>
    <t>NDF mark rate (used only for NDF unwind P&amp;L)</t>
  </si>
  <si>
    <t>Parity%_T</t>
  </si>
  <si>
    <t>Conversion still ITM?</t>
  </si>
  <si>
    <t>Leg 1 — Shares delivered</t>
  </si>
  <si>
    <t>Leg 2 — Stock sale (KRW)</t>
  </si>
  <si>
    <t>Leg 3 — Futures P&amp;L / share (KRW)</t>
  </si>
  <si>
    <t>Leg 3 — Futures P&amp;L (KRW)</t>
  </si>
  <si>
    <t>Leg 4 — hedge unwind rate (NDF mark if NDF, FX spot if SPOT)</t>
  </si>
  <si>
    <t>Leg 4 — FX hedge unwind P&amp;L (USD)</t>
  </si>
  <si>
    <t>Net KRW (equity legs)</t>
  </si>
  <si>
    <t>Net USD from KRW (spot FX conversion)</t>
  </si>
  <si>
    <t>Total USD in</t>
  </si>
  <si>
    <t>CB cost out (USD)</t>
  </si>
  <si>
    <t>Funding cost (USD)</t>
  </si>
  <si>
    <t>Coupon received over tenor (USD)</t>
  </si>
  <si>
    <t>Gross P&amp;L (USD)</t>
  </si>
  <si>
    <t>Net P&amp;L (USD; Gross − Funding + Coupon)</t>
  </si>
  <si>
    <t>Net P&amp;L (% of face)</t>
  </si>
  <si>
    <t>ATTRIBUTION BOX — decomposition of Net P&amp;L</t>
  </si>
  <si>
    <t>Structural edge (bid × face)</t>
  </si>
  <si>
    <t>Funding drag</t>
  </si>
  <si>
    <t>Residual share P&amp;L (unhedged dust)</t>
  </si>
  <si>
    <t>FX cross-gamma (diagnostic; ≈0 when NDF &amp; Δ=100%)</t>
  </si>
  <si>
    <t>SECTION 4 — SANITY CHECKS</t>
  </si>
  <si>
    <t>Invariance test A vs B (|Total USD_A − Total USD_B| &lt; $1,000)</t>
  </si>
  <si>
    <t>Invariance test A vs C (|Total USD_A − Total USD_C| &lt; $1,000)</t>
  </si>
  <si>
    <t>Edge capture (Net P&amp;L_A ≈ Break-even edge ± $15k)</t>
  </si>
  <si>
    <t>Unhedged residual flag</t>
  </si>
  <si>
    <t>SECTION 5 — MARK-TO-MARKET (bond + hedges, pre-conversion)</t>
  </si>
  <si>
    <t>Mark date (default TODAY, override OK)</t>
  </si>
  <si>
    <t>Mark P_stock (KRW)</t>
  </si>
  <si>
    <t>Mark FX spot (USDKRW; KRW→USD for futures leg)</t>
  </si>
  <si>
    <t>Mark NDF rate (forward to maturity; used for NDF MTM)</t>
  </si>
  <si>
    <t>Mark delta (info)</t>
  </si>
  <si>
    <t>Mark bid (discount to parity; default linear decay to 0)</t>
  </si>
  <si>
    <t>Mark-date derived</t>
  </si>
  <si>
    <t>Days elapsed (clamped 0…tenor)</t>
  </si>
  <si>
    <t>Days remaining to conversion</t>
  </si>
  <si>
    <t>Parity % at mark</t>
  </si>
  <si>
    <t>Conversion still ITM at mark?</t>
  </si>
  <si>
    <t>Hedge instrument now (auto from days remaining)</t>
  </si>
  <si>
    <t>Last coupon date on/before mark (schedule-derived)</t>
  </si>
  <si>
    <t>Next coupon date on/after mark</t>
  </si>
  <si>
    <t>Coupons received in cash since trade (count; capped at conversion)</t>
  </si>
  <si>
    <t>Current-period accrued at mark (USD; capped at conversion)</t>
  </si>
  <si>
    <t>Bond price at mark (% parity factor = parity − bid)</t>
  </si>
  <si>
    <t>Bond market value at mark (USD)</t>
  </si>
  <si>
    <t>MTM P&amp;L components (no shares delivered pre-conversion)</t>
  </si>
  <si>
    <t>Bond P&amp;L (USD; bond MV at mark − CB cost out)</t>
  </si>
  <si>
    <t>Futures MTM P&amp;L (KRW; hedged × (entry − mark))</t>
  </si>
  <si>
    <t>Futures MTM P&amp;L (USD; / mark FX spot)</t>
  </si>
  <si>
    <t>FX hedge MTM P&amp;L (USD; NDF mark if NDF, spot if SPOT)</t>
  </si>
  <si>
    <t>Total coupon income to mark (cash received + current accrued)</t>
  </si>
  <si>
    <t>Gross MTM P&amp;L (USD; Bond + Futures + FX hedge + Coupon)</t>
  </si>
  <si>
    <t>Funding accrued to mark (USD)</t>
  </si>
  <si>
    <t>Net MTM P&amp;L (USD; Gross − funding accrued)</t>
  </si>
  <si>
    <t>Net MTM P&amp;L (% of face)</t>
  </si>
  <si>
    <t>Funding remaining to conversion (USD; info)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</si>
</sst>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\$* #,##0_);[Red]_(\$* \(#,##0\);_(\$* &quot;-&quot;??_);_(@_)"/>
    <numFmt numFmtId="165" formatCode="0.00%;[Red]\(0.00%\)"/>
    <numFmt numFmtId="166" formatCode="#,##0.0000"/>
    <numFmt numFmtId="167" formatCode="0.0%;[Red]\(0.0%\)"/>
    <numFmt numFmtId="168" formatCode="yyyy\-mm\-dd"/>
    <numFmt numFmtId="169" formatCode="0.0000"/>
    <numFmt numFmtId="170" formatCode="#,##0;[Red]\(#,##0\);&quot;-&quot;"/>
    <numFmt numFmtId="171" formatCode="_(\$* #,##0.00_);[Red]_(\$* \(#,##0.00\);_(\$* &quot;-&quot;??_);_(@_)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1F4E78"/>
      <name val="Calibri"/>
    </font>
    <font>
      <b/>
      <sz val="11"/>
      <name val="Calibri"/>
    </font>
    <font>
      <b/>
      <sz val="11"/>
      <color rgb="FF9C0006"/>
      <name val="Calibri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0" fillId="4" borderId="1" xfId="0" applyFill="1" applyBorder="1" applyProtection="1">
      <protection locked="0"/>
    </xf>
    <xf numFmtId="164" fontId="5" fillId="3" borderId="4" xfId="0" applyNumberFormat="1" applyFont="1" applyFill="1" applyBorder="1"/>
    <xf numFmtId="0" fontId="0" fillId="5" borderId="1" xfId="0" applyFill="1" applyBorder="1"/>
    <xf numFmtId="165" fontId="2" fillId="3" borderId="0" xfId="0" applyNumberFormat="1" applyFont="1" applyFill="1"/>
    <xf numFmtId="3" fontId="0" fillId="4" borderId="1" xfId="0" applyNumberFormat="1" applyFill="1" applyBorder="1" applyProtection="1">
      <protection locked="0"/>
    </xf>
    <xf numFmtId="166" fontId="0" fillId="4" borderId="1" xfId="0" applyNumberFormat="1" applyFill="1" applyBorder="1" applyProtection="1">
      <protection locked="0"/>
    </xf>
    <xf numFmtId="167" fontId="0" fillId="4" borderId="1" xfId="0" applyNumberFormat="1" applyFill="1" applyBorder="1" applyProtection="1">
      <protection locked="0"/>
    </xf>
    <xf numFmtId="4" fontId="0" fillId="4" borderId="1" xfId="0" applyNumberFormat="1" applyFill="1" applyBorder="1" applyProtection="1">
      <protection locked="0"/>
    </xf>
    <xf numFmtId="165" fontId="0" fillId="4" borderId="1" xfId="0" applyNumberFormat="1" applyFill="1" applyBorder="1" applyProtection="1">
      <protection locked="0"/>
    </xf>
    <xf numFmtId="168" fontId="0" fillId="4" borderId="1" xfId="0" applyNumberFormat="1" applyFill="1" applyBorder="1" applyProtection="1">
      <protection locked="0"/>
    </xf>
    <xf numFmtId="168" fontId="0" fillId="5" borderId="1" xfId="0" applyNumberFormat="1" applyFill="1" applyBorder="1"/>
    <xf numFmtId="0" fontId="3" fillId="6" borderId="0" xfId="0" applyFont="1" applyFill="1"/>
    <xf numFmtId="3" fontId="0" fillId="5" borderId="1" xfId="0" applyNumberFormat="1" applyFill="1" applyBorder="1"/>
    <xf numFmtId="167" fontId="0" fillId="5" borderId="1" xfId="0" applyNumberFormat="1" applyFill="1" applyBorder="1"/>
    <xf numFmtId="164" fontId="0" fillId="5" borderId="1" xfId="0" applyNumberForma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4" fontId="0" fillId="5" borderId="1" xfId="0" applyNumberFormat="1" applyFill="1" applyBorder="1"/>
    <xf numFmtId="171" fontId="0" fillId="5" borderId="1" xfId="0" applyNumberFormat="1" applyFill="1" applyBorder="1"/>
    <xf numFmtId="0" fontId="3" fillId="6" borderId="0" xfId="0" applyFont="1" applyFill="1" applyAlignment="1">
      <alignment horizontal="center"/>
    </xf>
    <xf numFmtId="164" fontId="3" fillId="5" borderId="1" xfId="0" applyNumberFormat="1" applyFont="1" applyFill="1" applyBorder="1"/>
    <xf numFmtId="164" fontId="3" fillId="4" borderId="1" xfId="0" applyNumberFormat="1" applyFont="1" applyFill="1" applyBorder="1"/>
    <xf numFmtId="165" fontId="3" fillId="5" borderId="1" xfId="0" applyNumberFormat="1" applyFont="1" applyFill="1" applyBorder="1"/>
    <xf numFmtId="164" fontId="7" fillId="8" borderId="1" xfId="0" applyNumberFormat="1" applyFont="1" applyFill="1" applyBorder="1"/>
    <xf numFmtId="165" fontId="3" fillId="8" borderId="1" xfId="0" applyNumberFormat="1" applyFont="1" applyFill="1" applyBorder="1"/>
    <xf numFmtId="0" fontId="6" fillId="7" borderId="0" xfId="0" applyFont="1" applyFill="1" applyAlignment="1">
      <alignment horizontal="left" vertical="center" indent="1"/>
    </xf>
    <xf numFmtId="0" fontId="0" fillId="0" borderId="0" xfId="0"/>
    <xf numFmtId="0" fontId="6" fillId="2" borderId="0" xfId="0" applyFont="1" applyFill="1" applyAlignment="1">
      <alignment horizontal="left" vertical="center" indent="1"/>
    </xf>
    <xf numFmtId="0" fontId="3" fillId="6" borderId="0" xfId="0" applyFont="1" applyFill="1"/>
    <xf numFmtId="0" fontId="0" fillId="5" borderId="1" xfId="0" applyFill="1" applyBorder="1"/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4" borderId="1" xfId="0" applyFill="1" applyBorder="1"/>
    <xf numFmtId="0" fontId="3" fillId="0" borderId="0" xfId="0" applyFont="1"/>
    <xf numFmtId="0" fontId="4" fillId="0" borderId="0" xfId="0" applyFont="1"/>
    <xf numFmtId="0" fontId="2" fillId="3" borderId="0" xfId="0" applyFont="1" applyFill="1"/>
  </cellXfs>
  <cellStyles count="1">
    <cellStyle name="Normal" xfId="0" builtinId="0"/>
  </cellStyles>
  <dxfs count="10">
    <dxf>
      <font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36"/>
  <sheetViews>
    <sheetView showGridLines="0" tabSelected="1" workbookViewId="0">
      <pane ySplit="8" topLeftCell="A9" activePane="bottomLeft" state="frozen"/>
      <selection pane="bottomLeft" activeCell="G40" sqref="G40"/>
    </sheetView>
  </sheetViews>
  <sheetFormatPr defaultRowHeight="15" x14ac:dyDescent="0.25"/>
  <cols>
    <col min="1" max="1" width="38" customWidth="1"/>
    <col min="2" max="6" width="18" customWidth="1"/>
  </cols>
  <sheetData>
    <row r="1" spans="1:6" ht="26.1" customHeight="1" x14ac:dyDescent="0.25">
      <c r="A1" s="34" t="s">
        <v>0</v>
      </c>
      <c r="B1" s="28"/>
      <c r="C1" s="28"/>
      <c r="D1" s="28"/>
      <c r="E1" s="28"/>
      <c r="F1" s="28"/>
    </row>
    <row r="3" spans="1:6" ht="15.75" x14ac:dyDescent="0.25">
      <c r="A3" s="38" t="s">
        <v>1</v>
      </c>
      <c r="B3" s="28"/>
      <c r="D3" s="36" t="s">
        <v>2</v>
      </c>
      <c r="E3" s="28"/>
      <c r="F3" s="28"/>
    </row>
    <row r="4" spans="1:6" x14ac:dyDescent="0.25">
      <c r="A4" s="1" t="s">
        <v>3</v>
      </c>
      <c r="B4" s="2" t="s">
        <v>4</v>
      </c>
      <c r="D4" s="35" t="s">
        <v>5</v>
      </c>
      <c r="E4" s="32"/>
      <c r="F4" s="33"/>
    </row>
    <row r="5" spans="1:6" ht="18.75" x14ac:dyDescent="0.3">
      <c r="A5" s="1" t="s">
        <v>6</v>
      </c>
      <c r="B5" s="3">
        <f>IFERROR(CHOOSE(MATCH(B4,{"A","B","C","Custom","MTM"},0),B90,C90,D90,E90,B134),"— fill scenario inputs —")</f>
        <v>205397.06178571266</v>
      </c>
      <c r="D5" s="31" t="s">
        <v>7</v>
      </c>
      <c r="E5" s="32"/>
      <c r="F5" s="33"/>
    </row>
    <row r="6" spans="1:6" ht="15.75" x14ac:dyDescent="0.25">
      <c r="A6" s="1" t="s">
        <v>8</v>
      </c>
      <c r="B6" s="5">
        <f>IFERROR(B5/B9,"")</f>
        <v>8.5582109077380272E-2</v>
      </c>
      <c r="D6" s="37" t="s">
        <v>9</v>
      </c>
      <c r="E6" s="28"/>
      <c r="F6" s="28"/>
    </row>
    <row r="8" spans="1:6" ht="20.100000000000001" customHeight="1" x14ac:dyDescent="0.25">
      <c r="A8" s="29" t="s">
        <v>10</v>
      </c>
      <c r="B8" s="28"/>
      <c r="C8" s="28"/>
      <c r="D8" s="28"/>
      <c r="E8" s="28"/>
    </row>
    <row r="9" spans="1:6" x14ac:dyDescent="0.25">
      <c r="A9" t="s">
        <v>11</v>
      </c>
      <c r="B9" s="6">
        <v>2400000</v>
      </c>
    </row>
    <row r="10" spans="1:6" x14ac:dyDescent="0.25">
      <c r="A10" t="s">
        <v>12</v>
      </c>
      <c r="B10" s="6">
        <v>200000</v>
      </c>
    </row>
    <row r="11" spans="1:6" x14ac:dyDescent="0.25">
      <c r="A11" t="s">
        <v>13</v>
      </c>
      <c r="B11" s="6">
        <v>200000</v>
      </c>
    </row>
    <row r="12" spans="1:6" x14ac:dyDescent="0.25">
      <c r="A12" t="s">
        <v>14</v>
      </c>
      <c r="B12" s="6">
        <v>108811</v>
      </c>
    </row>
    <row r="13" spans="1:6" x14ac:dyDescent="0.25">
      <c r="A13" t="s">
        <v>15</v>
      </c>
      <c r="B13" s="7">
        <v>2419.4245000000001</v>
      </c>
    </row>
    <row r="14" spans="1:6" x14ac:dyDescent="0.25">
      <c r="A14" t="s">
        <v>16</v>
      </c>
      <c r="B14" s="8">
        <v>0.15</v>
      </c>
    </row>
    <row r="15" spans="1:6" x14ac:dyDescent="0.25">
      <c r="A15" t="s">
        <v>17</v>
      </c>
      <c r="B15" s="8">
        <f>B17*B13/(B10*B18)</f>
        <v>7.5056376295518206</v>
      </c>
    </row>
    <row r="16" spans="1:6" x14ac:dyDescent="0.25">
      <c r="A16" t="s">
        <v>18</v>
      </c>
      <c r="B16" s="8">
        <v>1</v>
      </c>
    </row>
    <row r="17" spans="1:2" x14ac:dyDescent="0.25">
      <c r="A17" t="s">
        <v>19</v>
      </c>
      <c r="B17" s="6">
        <v>886000</v>
      </c>
    </row>
    <row r="18" spans="1:2" x14ac:dyDescent="0.25">
      <c r="A18" t="s">
        <v>20</v>
      </c>
      <c r="B18" s="9">
        <v>1428</v>
      </c>
    </row>
    <row r="19" spans="1:2" x14ac:dyDescent="0.25">
      <c r="A19" t="s">
        <v>21</v>
      </c>
      <c r="B19" s="6">
        <v>10</v>
      </c>
    </row>
    <row r="20" spans="1:2" x14ac:dyDescent="0.25">
      <c r="A20" t="s">
        <v>22</v>
      </c>
      <c r="B20" s="10">
        <v>5.5E-2</v>
      </c>
    </row>
    <row r="21" spans="1:2" x14ac:dyDescent="0.25">
      <c r="A21" t="s">
        <v>23</v>
      </c>
      <c r="B21" s="6">
        <v>60</v>
      </c>
    </row>
    <row r="22" spans="1:2" x14ac:dyDescent="0.25">
      <c r="A22" t="s">
        <v>24</v>
      </c>
      <c r="B22" s="6">
        <v>360</v>
      </c>
    </row>
    <row r="23" spans="1:2" x14ac:dyDescent="0.25">
      <c r="A23" t="s">
        <v>25</v>
      </c>
      <c r="B23" s="11">
        <v>46068</v>
      </c>
    </row>
    <row r="24" spans="1:2" x14ac:dyDescent="0.25">
      <c r="A24" t="s">
        <v>26</v>
      </c>
      <c r="B24" s="12">
        <f>B23+B21</f>
        <v>46128</v>
      </c>
    </row>
    <row r="25" spans="1:2" x14ac:dyDescent="0.25">
      <c r="A25" t="s">
        <v>27</v>
      </c>
      <c r="B25" s="2" t="str">
        <f>IF(B21&gt;30,"NDF","SPOT")</f>
        <v>NDF</v>
      </c>
    </row>
    <row r="26" spans="1:2" x14ac:dyDescent="0.25">
      <c r="A26" t="s">
        <v>28</v>
      </c>
      <c r="B26" s="10">
        <v>1.7500000000000002E-2</v>
      </c>
    </row>
    <row r="27" spans="1:2" x14ac:dyDescent="0.25">
      <c r="A27" t="s">
        <v>29</v>
      </c>
      <c r="B27" s="6">
        <v>4</v>
      </c>
    </row>
    <row r="28" spans="1:2" x14ac:dyDescent="0.25">
      <c r="A28" t="s">
        <v>30</v>
      </c>
      <c r="B28" s="11">
        <v>45118</v>
      </c>
    </row>
    <row r="30" spans="1:2" x14ac:dyDescent="0.25">
      <c r="A30" s="30" t="s">
        <v>31</v>
      </c>
      <c r="B30" s="28"/>
    </row>
    <row r="31" spans="1:2" x14ac:dyDescent="0.25">
      <c r="A31" t="s">
        <v>32</v>
      </c>
      <c r="B31" s="4" t="str">
        <f>IF(MOD(B9,B10)=0,"✓ OK","✗ Invalid — must be multiple of min piece")</f>
        <v>✓ OK</v>
      </c>
    </row>
    <row r="32" spans="1:2" x14ac:dyDescent="0.25">
      <c r="A32" t="s">
        <v>33</v>
      </c>
      <c r="B32" s="4" t="str">
        <f>IF(B9&gt;=B10,"✓ OK","✗ Below minimum")</f>
        <v>✓ OK</v>
      </c>
    </row>
    <row r="33" spans="1:5" x14ac:dyDescent="0.25">
      <c r="A33" t="s">
        <v>34</v>
      </c>
      <c r="B33" s="4" t="str">
        <f>IF(AND(B16&gt;0,B16&lt;=1),"✓ OK","✗ Invalid delta")</f>
        <v>✓ OK</v>
      </c>
    </row>
    <row r="34" spans="1:5" x14ac:dyDescent="0.25">
      <c r="A34" t="s">
        <v>35</v>
      </c>
      <c r="B34" s="4" t="str">
        <f>IF(B21&gt;0,"✓ OK","✗ Invalid — must be positive")</f>
        <v>✓ OK</v>
      </c>
    </row>
    <row r="36" spans="1:5" ht="20.100000000000001" customHeight="1" x14ac:dyDescent="0.25">
      <c r="A36" s="29" t="s">
        <v>36</v>
      </c>
      <c r="B36" s="28"/>
      <c r="C36" s="28"/>
      <c r="D36" s="28"/>
      <c r="E36" s="28"/>
    </row>
    <row r="37" spans="1:5" x14ac:dyDescent="0.25">
      <c r="A37" t="s">
        <v>37</v>
      </c>
      <c r="B37" s="14">
        <f>B9/B10</f>
        <v>12</v>
      </c>
    </row>
    <row r="38" spans="1:5" x14ac:dyDescent="0.25">
      <c r="A38" t="s">
        <v>38</v>
      </c>
      <c r="B38" s="15">
        <f>B15-B14</f>
        <v>7.3556376295518202</v>
      </c>
    </row>
    <row r="39" spans="1:5" x14ac:dyDescent="0.25">
      <c r="A39" t="s">
        <v>39</v>
      </c>
      <c r="B39" s="16">
        <f>B9*B38</f>
        <v>17653530.31092437</v>
      </c>
    </row>
    <row r="40" spans="1:5" x14ac:dyDescent="0.25">
      <c r="A40" t="s">
        <v>40</v>
      </c>
      <c r="B40" s="16">
        <f>B9*B14</f>
        <v>360000</v>
      </c>
    </row>
    <row r="41" spans="1:5" x14ac:dyDescent="0.25">
      <c r="A41" t="s">
        <v>41</v>
      </c>
      <c r="B41" s="14">
        <f>ROUNDDOWN(B37*B13,0)</f>
        <v>29033</v>
      </c>
    </row>
    <row r="42" spans="1:5" x14ac:dyDescent="0.25">
      <c r="A42" t="s">
        <v>42</v>
      </c>
      <c r="B42" s="17">
        <f>B37*B13-B41</f>
        <v>9.4000000000960426E-2</v>
      </c>
    </row>
    <row r="43" spans="1:5" x14ac:dyDescent="0.25">
      <c r="A43" t="s">
        <v>43</v>
      </c>
      <c r="B43" s="16">
        <f>B9*B16*B15</f>
        <v>18013530.31092437</v>
      </c>
    </row>
    <row r="44" spans="1:5" x14ac:dyDescent="0.25">
      <c r="A44" t="s">
        <v>44</v>
      </c>
      <c r="B44" s="14">
        <f>B43*B18/B17</f>
        <v>29033.094000000001</v>
      </c>
    </row>
    <row r="45" spans="1:5" x14ac:dyDescent="0.25">
      <c r="A45" t="s">
        <v>45</v>
      </c>
      <c r="B45" s="14">
        <f>ROUNDDOWN(B41/B19,0)</f>
        <v>2903</v>
      </c>
    </row>
    <row r="46" spans="1:5" x14ac:dyDescent="0.25">
      <c r="A46" t="s">
        <v>46</v>
      </c>
      <c r="B46" s="14">
        <f>B45*B19</f>
        <v>29030</v>
      </c>
    </row>
    <row r="47" spans="1:5" x14ac:dyDescent="0.25">
      <c r="A47" t="s">
        <v>47</v>
      </c>
      <c r="B47" s="14">
        <f>B41-B46</f>
        <v>3</v>
      </c>
    </row>
    <row r="48" spans="1:5" x14ac:dyDescent="0.25">
      <c r="A48" t="s">
        <v>48</v>
      </c>
      <c r="B48" s="14">
        <f>B17</f>
        <v>886000</v>
      </c>
    </row>
    <row r="49" spans="1:2" x14ac:dyDescent="0.25">
      <c r="A49" t="s">
        <v>49</v>
      </c>
      <c r="B49" s="18">
        <f>B46*B17</f>
        <v>25720580000</v>
      </c>
    </row>
    <row r="50" spans="1:2" x14ac:dyDescent="0.25">
      <c r="A50" t="s">
        <v>50</v>
      </c>
      <c r="B50" s="19">
        <f>IF(B25="NDF",B18,"n/a — spot hedge")</f>
        <v>1428</v>
      </c>
    </row>
    <row r="51" spans="1:2" x14ac:dyDescent="0.25">
      <c r="A51" t="s">
        <v>51</v>
      </c>
      <c r="B51" s="16">
        <f>B49/B18</f>
        <v>18011610.644257702</v>
      </c>
    </row>
    <row r="52" spans="1:2" x14ac:dyDescent="0.25">
      <c r="A52" t="s">
        <v>52</v>
      </c>
      <c r="B52" s="16">
        <f>B39*B20*B21/B22</f>
        <v>161824.02785014006</v>
      </c>
    </row>
    <row r="53" spans="1:2" x14ac:dyDescent="0.25">
      <c r="A53" t="s">
        <v>53</v>
      </c>
      <c r="B53" s="16">
        <f>B9*B26*B21/B22</f>
        <v>7000.0000000000009</v>
      </c>
    </row>
    <row r="54" spans="1:2" x14ac:dyDescent="0.25">
      <c r="A54" t="s">
        <v>54</v>
      </c>
      <c r="B54" s="16">
        <f>B9*B26/B27</f>
        <v>10500.000000000002</v>
      </c>
    </row>
    <row r="55" spans="1:2" x14ac:dyDescent="0.25">
      <c r="A55" t="s">
        <v>55</v>
      </c>
      <c r="B55" s="14">
        <f>B28-B23</f>
        <v>-950</v>
      </c>
    </row>
    <row r="56" spans="1:2" x14ac:dyDescent="0.25">
      <c r="A56" t="s">
        <v>56</v>
      </c>
      <c r="B56" s="14">
        <f>IF(B28&gt;B24,0,1+INT(DATEDIF(B28,B24,"M")/(12/B27)))</f>
        <v>12</v>
      </c>
    </row>
    <row r="57" spans="1:2" x14ac:dyDescent="0.25">
      <c r="A57" t="s">
        <v>57</v>
      </c>
      <c r="B57" s="12">
        <f>IF(B23&gt;=B28,EDATE(B28,INT((B23-B28)*B27/365)*12/B27),EDATE(B28,-12/B27))</f>
        <v>46033</v>
      </c>
    </row>
    <row r="58" spans="1:2" x14ac:dyDescent="0.25">
      <c r="A58" t="s">
        <v>58</v>
      </c>
      <c r="B58" s="16">
        <f>B9*B26*(B23-B57)/B22</f>
        <v>4083.3333333333339</v>
      </c>
    </row>
    <row r="59" spans="1:2" x14ac:dyDescent="0.25">
      <c r="A59" t="s">
        <v>59</v>
      </c>
      <c r="B59" s="16">
        <f>B40-B52+B53</f>
        <v>205175.97214985994</v>
      </c>
    </row>
    <row r="61" spans="1:2" x14ac:dyDescent="0.25">
      <c r="A61" s="30" t="s">
        <v>60</v>
      </c>
      <c r="B61" s="28"/>
    </row>
    <row r="62" spans="1:2" x14ac:dyDescent="0.25">
      <c r="A62" t="s">
        <v>61</v>
      </c>
      <c r="B62" s="20">
        <f>B52/B21</f>
        <v>2697.0671308356677</v>
      </c>
    </row>
    <row r="63" spans="1:2" x14ac:dyDescent="0.25">
      <c r="A63" t="s">
        <v>62</v>
      </c>
      <c r="B63" s="15">
        <f>B52/B40</f>
        <v>0.44951118847261129</v>
      </c>
    </row>
    <row r="65" spans="1:5" x14ac:dyDescent="0.25">
      <c r="A65" s="30" t="s">
        <v>63</v>
      </c>
      <c r="B65" s="28"/>
    </row>
    <row r="66" spans="1:5" x14ac:dyDescent="0.25">
      <c r="A66" t="s">
        <v>64</v>
      </c>
      <c r="B66" s="19">
        <f>IFERROR((B83-B51*B18)/(B39+B52-B51),"n/a")</f>
        <v>-15.576569590839505</v>
      </c>
    </row>
    <row r="67" spans="1:5" x14ac:dyDescent="0.25">
      <c r="A67" t="s">
        <v>65</v>
      </c>
      <c r="B67" s="14">
        <f>IFERROR(((B39+B52-B82)*B73-B46*B17)/B47,"n/a (no residual)")</f>
        <v>-93418001.409999847</v>
      </c>
    </row>
    <row r="69" spans="1:5" ht="20.100000000000001" customHeight="1" x14ac:dyDescent="0.25">
      <c r="A69" s="29" t="s">
        <v>66</v>
      </c>
      <c r="B69" s="28"/>
      <c r="C69" s="28"/>
      <c r="D69" s="28"/>
      <c r="E69" s="28"/>
    </row>
    <row r="70" spans="1:5" x14ac:dyDescent="0.25">
      <c r="A70" s="13" t="s">
        <v>67</v>
      </c>
      <c r="B70" s="21" t="s">
        <v>68</v>
      </c>
      <c r="C70" s="21" t="s">
        <v>69</v>
      </c>
      <c r="D70" s="21" t="s">
        <v>70</v>
      </c>
      <c r="E70" s="21" t="s">
        <v>71</v>
      </c>
    </row>
    <row r="71" spans="1:5" x14ac:dyDescent="0.25">
      <c r="A71" t="s">
        <v>72</v>
      </c>
      <c r="B71" s="2" t="s">
        <v>73</v>
      </c>
      <c r="C71" s="2" t="s">
        <v>74</v>
      </c>
      <c r="D71" s="2" t="s">
        <v>75</v>
      </c>
      <c r="E71" s="2" t="s">
        <v>76</v>
      </c>
    </row>
    <row r="72" spans="1:5" x14ac:dyDescent="0.25">
      <c r="A72" t="s">
        <v>77</v>
      </c>
      <c r="B72" s="6">
        <v>1019000</v>
      </c>
      <c r="C72" s="6">
        <v>1019000</v>
      </c>
      <c r="D72" s="6">
        <v>753100</v>
      </c>
      <c r="E72" s="6"/>
    </row>
    <row r="73" spans="1:5" x14ac:dyDescent="0.25">
      <c r="A73" t="s">
        <v>78</v>
      </c>
      <c r="B73" s="9">
        <v>1428</v>
      </c>
      <c r="C73" s="9">
        <v>1470</v>
      </c>
      <c r="D73" s="9">
        <v>1395</v>
      </c>
      <c r="E73" s="9"/>
    </row>
    <row r="74" spans="1:5" x14ac:dyDescent="0.25">
      <c r="A74" t="s">
        <v>79</v>
      </c>
      <c r="B74" s="9">
        <v>1428</v>
      </c>
      <c r="C74" s="9">
        <v>1470</v>
      </c>
      <c r="D74" s="9">
        <v>1395</v>
      </c>
      <c r="E74" s="9"/>
    </row>
    <row r="75" spans="1:5" x14ac:dyDescent="0.25">
      <c r="A75" t="s">
        <v>80</v>
      </c>
      <c r="B75" s="15">
        <f>B72*$B$13/($B$10*B73)</f>
        <v>8.632330411414566</v>
      </c>
      <c r="C75" s="15">
        <f>C72*$B$13/($B$10*C73)</f>
        <v>8.3856923996598631</v>
      </c>
      <c r="D75" s="15">
        <f>D72*$B$13/($B$10*D73)</f>
        <v>6.5307117955197134</v>
      </c>
      <c r="E75" s="15" t="e">
        <f>E72*$B$13/($B$10*E73)</f>
        <v>#DIV/0!</v>
      </c>
    </row>
    <row r="76" spans="1:5" x14ac:dyDescent="0.25">
      <c r="A76" t="s">
        <v>81</v>
      </c>
      <c r="B76" s="4" t="str">
        <f>IF(B75&gt;1,"YES","NO — abandon conversion")</f>
        <v>YES</v>
      </c>
      <c r="C76" s="4" t="str">
        <f>IF(C75&gt;1,"YES","NO — abandon conversion")</f>
        <v>YES</v>
      </c>
      <c r="D76" s="4" t="str">
        <f>IF(D75&gt;1,"YES","NO — abandon conversion")</f>
        <v>YES</v>
      </c>
      <c r="E76" s="4" t="e">
        <f>IF(E75&gt;1,"YES","NO — abandon conversion")</f>
        <v>#DIV/0!</v>
      </c>
    </row>
    <row r="77" spans="1:5" x14ac:dyDescent="0.25">
      <c r="A77" t="s">
        <v>82</v>
      </c>
      <c r="B77" s="14">
        <f>$B$41</f>
        <v>29033</v>
      </c>
      <c r="C77" s="14">
        <f>$B$41</f>
        <v>29033</v>
      </c>
      <c r="D77" s="14">
        <f>$B$41</f>
        <v>29033</v>
      </c>
      <c r="E77" s="14">
        <f>$B$41</f>
        <v>29033</v>
      </c>
    </row>
    <row r="78" spans="1:5" x14ac:dyDescent="0.25">
      <c r="A78" t="s">
        <v>83</v>
      </c>
      <c r="B78" s="18">
        <f>$B$41*B72</f>
        <v>29584627000</v>
      </c>
      <c r="C78" s="18">
        <f>$B$41*C72</f>
        <v>29584627000</v>
      </c>
      <c r="D78" s="18">
        <f>$B$41*D72</f>
        <v>21864752300</v>
      </c>
      <c r="E78" s="18">
        <f>$B$41*E72</f>
        <v>0</v>
      </c>
    </row>
    <row r="79" spans="1:5" x14ac:dyDescent="0.25">
      <c r="A79" t="s">
        <v>84</v>
      </c>
      <c r="B79" s="18">
        <f>-(B72-$B$17)</f>
        <v>-133000</v>
      </c>
      <c r="C79" s="18">
        <f>-(C72-$B$17)</f>
        <v>-133000</v>
      </c>
      <c r="D79" s="18">
        <f>-(D72-$B$17)</f>
        <v>132900</v>
      </c>
      <c r="E79" s="18">
        <f>-(E72-$B$17)</f>
        <v>886000</v>
      </c>
    </row>
    <row r="80" spans="1:5" x14ac:dyDescent="0.25">
      <c r="A80" t="s">
        <v>85</v>
      </c>
      <c r="B80" s="18">
        <f>$B$46*B79</f>
        <v>-3860990000</v>
      </c>
      <c r="C80" s="18">
        <f>$B$46*C79</f>
        <v>-3860990000</v>
      </c>
      <c r="D80" s="18">
        <f>$B$46*D79</f>
        <v>3858087000</v>
      </c>
      <c r="E80" s="18">
        <f>$B$46*E79</f>
        <v>25720580000</v>
      </c>
    </row>
    <row r="81" spans="1:5" x14ac:dyDescent="0.25">
      <c r="A81" t="s">
        <v>86</v>
      </c>
      <c r="B81" s="19">
        <f>IF($B$25="NDF",B74,B73)</f>
        <v>1428</v>
      </c>
      <c r="C81" s="19">
        <f>IF($B$25="NDF",C74,C73)</f>
        <v>1470</v>
      </c>
      <c r="D81" s="19">
        <f>IF($B$25="NDF",D74,D73)</f>
        <v>1395</v>
      </c>
      <c r="E81" s="19">
        <f>IF($B$25="NDF",E74,E73)</f>
        <v>0</v>
      </c>
    </row>
    <row r="82" spans="1:5" x14ac:dyDescent="0.25">
      <c r="A82" t="s">
        <v>87</v>
      </c>
      <c r="B82" s="16">
        <f>$B$51*(B81-$B$18)/B81</f>
        <v>0</v>
      </c>
      <c r="C82" s="16">
        <f>$B$51*(C81-$B$18)/C81</f>
        <v>514617.4469787915</v>
      </c>
      <c r="D82" s="16">
        <f>$B$51*(D81-$B$18)/D81</f>
        <v>-426081.11201469827</v>
      </c>
      <c r="E82" s="16" t="e">
        <f>$B$51*(E81-$B$18)/E81</f>
        <v>#DIV/0!</v>
      </c>
    </row>
    <row r="83" spans="1:5" x14ac:dyDescent="0.25">
      <c r="A83" t="s">
        <v>88</v>
      </c>
      <c r="B83" s="18">
        <f>B78+B80</f>
        <v>25723637000</v>
      </c>
      <c r="C83" s="18">
        <f>C78+C80</f>
        <v>25723637000</v>
      </c>
      <c r="D83" s="18">
        <f>D78+D80</f>
        <v>25722839300</v>
      </c>
      <c r="E83" s="18">
        <f>E78+E80</f>
        <v>25720580000</v>
      </c>
    </row>
    <row r="84" spans="1:5" x14ac:dyDescent="0.25">
      <c r="A84" t="s">
        <v>89</v>
      </c>
      <c r="B84" s="16">
        <f>B83/B73</f>
        <v>18013751.400560223</v>
      </c>
      <c r="C84" s="16">
        <f>C83/C73</f>
        <v>17499072.789115645</v>
      </c>
      <c r="D84" s="16">
        <f>D83/D73</f>
        <v>18439311.326164875</v>
      </c>
      <c r="E84" s="16" t="e">
        <f>E83/E73</f>
        <v>#DIV/0!</v>
      </c>
    </row>
    <row r="85" spans="1:5" x14ac:dyDescent="0.25">
      <c r="A85" s="1" t="s">
        <v>90</v>
      </c>
      <c r="B85" s="22">
        <f>B84+B82</f>
        <v>18013751.400560223</v>
      </c>
      <c r="C85" s="22">
        <f>C84+C82</f>
        <v>18013690.236094438</v>
      </c>
      <c r="D85" s="22">
        <f>D84+D82</f>
        <v>18013230.214150175</v>
      </c>
      <c r="E85" s="22" t="e">
        <f>E84+E82</f>
        <v>#DIV/0!</v>
      </c>
    </row>
    <row r="86" spans="1:5" x14ac:dyDescent="0.25">
      <c r="A86" t="s">
        <v>91</v>
      </c>
      <c r="B86" s="16">
        <f>$B$39</f>
        <v>17653530.31092437</v>
      </c>
      <c r="C86" s="16">
        <f>$B$39</f>
        <v>17653530.31092437</v>
      </c>
      <c r="D86" s="16">
        <f>$B$39</f>
        <v>17653530.31092437</v>
      </c>
      <c r="E86" s="16">
        <f>$B$39</f>
        <v>17653530.31092437</v>
      </c>
    </row>
    <row r="87" spans="1:5" x14ac:dyDescent="0.25">
      <c r="A87" t="s">
        <v>92</v>
      </c>
      <c r="B87" s="16">
        <f>$B$52</f>
        <v>161824.02785014006</v>
      </c>
      <c r="C87" s="16">
        <f>$B$52</f>
        <v>161824.02785014006</v>
      </c>
      <c r="D87" s="16">
        <f>$B$52</f>
        <v>161824.02785014006</v>
      </c>
      <c r="E87" s="16">
        <f>$B$52</f>
        <v>161824.02785014006</v>
      </c>
    </row>
    <row r="88" spans="1:5" x14ac:dyDescent="0.25">
      <c r="A88" t="s">
        <v>93</v>
      </c>
      <c r="B88" s="16">
        <f>$B$53</f>
        <v>7000.0000000000009</v>
      </c>
      <c r="C88" s="16">
        <f>$B$53</f>
        <v>7000.0000000000009</v>
      </c>
      <c r="D88" s="16">
        <f>$B$53</f>
        <v>7000.0000000000009</v>
      </c>
      <c r="E88" s="16">
        <f>$B$53</f>
        <v>7000.0000000000009</v>
      </c>
    </row>
    <row r="89" spans="1:5" x14ac:dyDescent="0.25">
      <c r="A89" t="s">
        <v>94</v>
      </c>
      <c r="B89" s="16">
        <f>B85-B86</f>
        <v>360221.08963585272</v>
      </c>
      <c r="C89" s="16">
        <f>C85-C86</f>
        <v>360159.9251700677</v>
      </c>
      <c r="D89" s="16">
        <f>D85-D86</f>
        <v>359699.90322580561</v>
      </c>
      <c r="E89" s="16" t="e">
        <f>E85-E86</f>
        <v>#DIV/0!</v>
      </c>
    </row>
    <row r="90" spans="1:5" x14ac:dyDescent="0.25">
      <c r="A90" s="1" t="s">
        <v>95</v>
      </c>
      <c r="B90" s="23">
        <f>B89-B87+B88</f>
        <v>205397.06178571266</v>
      </c>
      <c r="C90" s="23">
        <f>C89-C87+C88</f>
        <v>205335.89731992764</v>
      </c>
      <c r="D90" s="23">
        <f>D89-D87+D88</f>
        <v>204875.87537566555</v>
      </c>
      <c r="E90" s="23" t="e">
        <f>E89-E87+E88</f>
        <v>#DIV/0!</v>
      </c>
    </row>
    <row r="91" spans="1:5" x14ac:dyDescent="0.25">
      <c r="A91" s="1" t="s">
        <v>96</v>
      </c>
      <c r="B91" s="24">
        <f>B90/$B$9</f>
        <v>8.5582109077380272E-2</v>
      </c>
      <c r="C91" s="24">
        <f>C90/$B$9</f>
        <v>8.5556623883303179E-2</v>
      </c>
      <c r="D91" s="24">
        <f>D90/$B$9</f>
        <v>8.5364948073193975E-2</v>
      </c>
      <c r="E91" s="24" t="e">
        <f>E90/$B$9</f>
        <v>#DIV/0!</v>
      </c>
    </row>
    <row r="93" spans="1:5" ht="20.100000000000001" customHeight="1" x14ac:dyDescent="0.25">
      <c r="A93" s="29" t="s">
        <v>97</v>
      </c>
      <c r="B93" s="28"/>
      <c r="C93" s="28"/>
      <c r="D93" s="28"/>
      <c r="E93" s="28"/>
    </row>
    <row r="94" spans="1:5" x14ac:dyDescent="0.25">
      <c r="A94" t="s">
        <v>98</v>
      </c>
      <c r="B94" s="16">
        <f>$B$40</f>
        <v>360000</v>
      </c>
      <c r="C94" s="16">
        <f>$B$40</f>
        <v>360000</v>
      </c>
      <c r="D94" s="16">
        <f>$B$40</f>
        <v>360000</v>
      </c>
      <c r="E94" s="16">
        <f>$B$40</f>
        <v>360000</v>
      </c>
    </row>
    <row r="95" spans="1:5" x14ac:dyDescent="0.25">
      <c r="A95" t="s">
        <v>99</v>
      </c>
      <c r="B95" s="16">
        <f>-$B$52</f>
        <v>-161824.02785014006</v>
      </c>
      <c r="C95" s="16">
        <f>-$B$52</f>
        <v>-161824.02785014006</v>
      </c>
      <c r="D95" s="16">
        <f>-$B$52</f>
        <v>-161824.02785014006</v>
      </c>
      <c r="E95" s="16">
        <f>-$B$52</f>
        <v>-161824.02785014006</v>
      </c>
    </row>
    <row r="96" spans="1:5" x14ac:dyDescent="0.25">
      <c r="A96" t="s">
        <v>100</v>
      </c>
      <c r="B96" s="20">
        <f>$B$47*(B72-$B$17)/B73</f>
        <v>279.41176470588238</v>
      </c>
      <c r="C96" s="20">
        <f>$B$47*(C72-$B$17)/C73</f>
        <v>271.42857142857144</v>
      </c>
      <c r="D96" s="20">
        <f>$B$47*(D72-$B$17)/D73</f>
        <v>-285.80645161290323</v>
      </c>
      <c r="E96" s="20" t="e">
        <f>$B$47*(E72-$B$17)/E73</f>
        <v>#DIV/0!</v>
      </c>
    </row>
    <row r="97" spans="1:5" x14ac:dyDescent="0.25">
      <c r="A97" t="s">
        <v>101</v>
      </c>
      <c r="B97" s="20">
        <f>B90-B94-B95-B96</f>
        <v>6941.6778711468423</v>
      </c>
      <c r="C97" s="20">
        <f>C90-C94-C95-C96</f>
        <v>6888.4965986391262</v>
      </c>
      <c r="D97" s="20">
        <f>D90-D94-D95-D96</f>
        <v>6985.7096774185138</v>
      </c>
      <c r="E97" s="20" t="e">
        <f>E90-E94-E95-E96</f>
        <v>#DIV/0!</v>
      </c>
    </row>
    <row r="99" spans="1:5" ht="20.100000000000001" customHeight="1" x14ac:dyDescent="0.25">
      <c r="A99" s="29" t="s">
        <v>102</v>
      </c>
      <c r="B99" s="28"/>
      <c r="C99" s="28"/>
      <c r="D99" s="28"/>
      <c r="E99" s="28"/>
    </row>
    <row r="100" spans="1:5" x14ac:dyDescent="0.25">
      <c r="A100" t="s">
        <v>103</v>
      </c>
      <c r="B100" s="4" t="str">
        <f>IF(ABS(B85-C85)&lt;1000,"✓ PASS","✗ FAIL by $"&amp;TEXT(ABS(B85-C85),"#,##0"))</f>
        <v>✓ PASS</v>
      </c>
    </row>
    <row r="101" spans="1:5" x14ac:dyDescent="0.25">
      <c r="A101" t="s">
        <v>104</v>
      </c>
      <c r="B101" s="4" t="str">
        <f>IF(ABS(B85-D85)&lt;1000,"✓ PASS","✗ FAIL by $"&amp;TEXT(ABS(B85-D85),"#,##0"))</f>
        <v>✓ PASS</v>
      </c>
    </row>
    <row r="102" spans="1:5" x14ac:dyDescent="0.25">
      <c r="A102" t="s">
        <v>105</v>
      </c>
      <c r="B102" s="4" t="str">
        <f>IF(ABS(B90-B59)&lt;15000,"✓ PASS","✗ FAIL by $"&amp;TEXT(ABS(B90-B59),"#,##0"))</f>
        <v>✓ PASS</v>
      </c>
    </row>
    <row r="103" spans="1:5" x14ac:dyDescent="0.25">
      <c r="A103" t="s">
        <v>106</v>
      </c>
      <c r="B103" s="4" t="str">
        <f>IF(B47=0,"✓ No residual","⚠ "&amp;B47&amp;" shares unhedged; exposure ≈ $"&amp;TEXT(B47*MIN(B72:D72)/MAX(B73:D73),"#,##0"))</f>
        <v>⚠ 3 shares unhedged; exposure ≈ $1,537</v>
      </c>
    </row>
    <row r="105" spans="1:5" ht="20.100000000000001" customHeight="1" x14ac:dyDescent="0.25">
      <c r="A105" s="27" t="s">
        <v>107</v>
      </c>
      <c r="B105" s="28"/>
      <c r="C105" s="28"/>
      <c r="D105" s="28"/>
      <c r="E105" s="28"/>
    </row>
    <row r="106" spans="1:5" x14ac:dyDescent="0.25">
      <c r="A106" t="s">
        <v>108</v>
      </c>
      <c r="B106" s="11">
        <f ca="1">TODAY()</f>
        <v>46131</v>
      </c>
    </row>
    <row r="107" spans="1:5" x14ac:dyDescent="0.25">
      <c r="A107" t="s">
        <v>109</v>
      </c>
      <c r="B107" s="6">
        <v>905000</v>
      </c>
    </row>
    <row r="108" spans="1:5" x14ac:dyDescent="0.25">
      <c r="A108" t="s">
        <v>110</v>
      </c>
      <c r="B108" s="9">
        <v>1432</v>
      </c>
    </row>
    <row r="109" spans="1:5" x14ac:dyDescent="0.25">
      <c r="A109" t="s">
        <v>111</v>
      </c>
      <c r="B109" s="9">
        <v>1432</v>
      </c>
    </row>
    <row r="110" spans="1:5" x14ac:dyDescent="0.25">
      <c r="A110" t="s">
        <v>112</v>
      </c>
      <c r="B110" s="8">
        <v>1</v>
      </c>
    </row>
    <row r="111" spans="1:5" x14ac:dyDescent="0.25">
      <c r="A111" t="s">
        <v>113</v>
      </c>
      <c r="B111" s="8">
        <f ca="1">B14*MAX(0,1-B114/B21)</f>
        <v>0</v>
      </c>
    </row>
    <row r="113" spans="1:2" x14ac:dyDescent="0.25">
      <c r="A113" s="30" t="s">
        <v>114</v>
      </c>
      <c r="B113" s="28"/>
    </row>
    <row r="114" spans="1:2" x14ac:dyDescent="0.25">
      <c r="A114" t="s">
        <v>115</v>
      </c>
      <c r="B114" s="14">
        <f ca="1">MAX(0,MIN(B106-B23,B21))</f>
        <v>60</v>
      </c>
    </row>
    <row r="115" spans="1:2" x14ac:dyDescent="0.25">
      <c r="A115" t="s">
        <v>116</v>
      </c>
      <c r="B115" s="14">
        <f ca="1">MAX(0,B21-B114)</f>
        <v>0</v>
      </c>
    </row>
    <row r="116" spans="1:2" x14ac:dyDescent="0.25">
      <c r="A116" t="s">
        <v>117</v>
      </c>
      <c r="B116" s="15">
        <f>B107*B13/(B10*B108)</f>
        <v>7.6451786749301673</v>
      </c>
    </row>
    <row r="117" spans="1:2" x14ac:dyDescent="0.25">
      <c r="A117" t="s">
        <v>118</v>
      </c>
      <c r="B117" s="4" t="str">
        <f>IF(B116&gt;1,"YES","NO — parity OTM")</f>
        <v>YES</v>
      </c>
    </row>
    <row r="118" spans="1:2" x14ac:dyDescent="0.25">
      <c r="A118" t="s">
        <v>119</v>
      </c>
      <c r="B118" s="4" t="str">
        <f ca="1">IF(B115&gt;30,"NDF","SPOT")</f>
        <v>SPOT</v>
      </c>
    </row>
    <row r="119" spans="1:2" x14ac:dyDescent="0.25">
      <c r="A119" t="s">
        <v>120</v>
      </c>
      <c r="B119" s="12">
        <f ca="1">IF(B106&gt;=B28,EDATE(B28,INT((B106-B28)*B27/365)*12/B27),EDATE(B28,-12/B27))</f>
        <v>46123</v>
      </c>
    </row>
    <row r="120" spans="1:2" x14ac:dyDescent="0.25">
      <c r="A120" t="s">
        <v>121</v>
      </c>
      <c r="B120" s="12">
        <f ca="1">IF(B106&lt;=B28,B28,EDATE(B119,12/B27))</f>
        <v>46214</v>
      </c>
    </row>
    <row r="121" spans="1:2" x14ac:dyDescent="0.25">
      <c r="A121" t="s">
        <v>122</v>
      </c>
      <c r="B121" s="14">
        <f ca="1">IF(OR(B28&gt;MIN(B106,B24),MIN(B106,B24)&lt;B23),0,1+INT(DATEDIF(MAX(B28,B23+1),MIN(B106,B24),"M")/(12/B27)))</f>
        <v>1</v>
      </c>
    </row>
    <row r="122" spans="1:2" x14ac:dyDescent="0.25">
      <c r="A122" t="s">
        <v>123</v>
      </c>
      <c r="B122" s="16">
        <f ca="1">B9*B26*MAX(0,MIN(B106,B24)-MAX(B119,B23))/B22</f>
        <v>583.33333333333337</v>
      </c>
    </row>
    <row r="123" spans="1:2" x14ac:dyDescent="0.25">
      <c r="A123" t="s">
        <v>124</v>
      </c>
      <c r="B123" s="15">
        <f ca="1">B116-B111</f>
        <v>7.6451786749301673</v>
      </c>
    </row>
    <row r="124" spans="1:2" x14ac:dyDescent="0.25">
      <c r="A124" t="s">
        <v>125</v>
      </c>
      <c r="B124" s="16">
        <f ca="1">B9*B123</f>
        <v>18348428.819832403</v>
      </c>
    </row>
    <row r="126" spans="1:2" x14ac:dyDescent="0.25">
      <c r="A126" s="30" t="s">
        <v>126</v>
      </c>
      <c r="B126" s="28"/>
    </row>
    <row r="127" spans="1:2" x14ac:dyDescent="0.25">
      <c r="A127" t="s">
        <v>127</v>
      </c>
      <c r="B127" s="16">
        <f ca="1">B124-B39</f>
        <v>694898.50890803337</v>
      </c>
    </row>
    <row r="128" spans="1:2" x14ac:dyDescent="0.25">
      <c r="A128" t="s">
        <v>128</v>
      </c>
      <c r="B128" s="18">
        <f>B46*(B17-B107)</f>
        <v>-551570000</v>
      </c>
    </row>
    <row r="129" spans="1:2" x14ac:dyDescent="0.25">
      <c r="A129" t="s">
        <v>129</v>
      </c>
      <c r="B129" s="16">
        <f>B128/B108</f>
        <v>-385174.5810055866</v>
      </c>
    </row>
    <row r="130" spans="1:2" x14ac:dyDescent="0.25">
      <c r="A130" t="s">
        <v>130</v>
      </c>
      <c r="B130" s="16">
        <f>B51*(IF(B25="NDF",B109,B108)-B18)/IF(B25="NDF",B109,B108)</f>
        <v>50311.76157613883</v>
      </c>
    </row>
    <row r="131" spans="1:2" x14ac:dyDescent="0.25">
      <c r="A131" t="s">
        <v>131</v>
      </c>
      <c r="B131" s="16">
        <f ca="1">B121*B54+B122</f>
        <v>11083.333333333336</v>
      </c>
    </row>
    <row r="132" spans="1:2" x14ac:dyDescent="0.25">
      <c r="A132" t="s">
        <v>132</v>
      </c>
      <c r="B132" s="16">
        <f ca="1">B127+B129+B130+B131</f>
        <v>371119.02281191893</v>
      </c>
    </row>
    <row r="133" spans="1:2" x14ac:dyDescent="0.25">
      <c r="A133" t="s">
        <v>133</v>
      </c>
      <c r="B133" s="16">
        <f ca="1">B39*B20*B114/B22</f>
        <v>161824.02785014006</v>
      </c>
    </row>
    <row r="134" spans="1:2" x14ac:dyDescent="0.25">
      <c r="A134" t="s">
        <v>134</v>
      </c>
      <c r="B134" s="25">
        <f ca="1">B132-B133</f>
        <v>209294.99496177887</v>
      </c>
    </row>
    <row r="135" spans="1:2" x14ac:dyDescent="0.25">
      <c r="A135" t="s">
        <v>135</v>
      </c>
      <c r="B135" s="26">
        <f ca="1">B134/B9</f>
        <v>8.7206247900741191E-2</v>
      </c>
    </row>
    <row r="136" spans="1:2" x14ac:dyDescent="0.25">
      <c r="A136" t="s">
        <v>136</v>
      </c>
      <c r="B136" s="16">
        <f ca="1">B39*B20*B115/B22</f>
        <v>0</v>
      </c>
    </row>
  </sheetData>
  <sheetProtection formatCells="0" formatColumns="0" formatRows="0"/>
  <mergeCells count="17">
    <mergeCell ref="A126:B126"/>
    <mergeCell ref="D6:F6"/>
    <mergeCell ref="A3:B3"/>
    <mergeCell ref="A113:B113"/>
    <mergeCell ref="A1:F1"/>
    <mergeCell ref="D4:F4"/>
    <mergeCell ref="A61:B61"/>
    <mergeCell ref="A99:E99"/>
    <mergeCell ref="D3:F3"/>
    <mergeCell ref="A93:E93"/>
    <mergeCell ref="A36:E36"/>
    <mergeCell ref="A8:E8"/>
    <mergeCell ref="A105:E105"/>
    <mergeCell ref="A69:E69"/>
    <mergeCell ref="A30:B30"/>
    <mergeCell ref="D5:F5"/>
    <mergeCell ref="A65:B65"/>
  </mergeCells>
  <conditionalFormatting sqref="B31:B34">
    <cfRule type="expression" dxfId="9" priority="1">
      <formula>ISNUMBER(SEARCH("✗",B31))</formula>
    </cfRule>
    <cfRule type="expression" dxfId="8" priority="2">
      <formula>ISNUMBER(SEARCH("✓",B31))</formula>
    </cfRule>
  </conditionalFormatting>
  <conditionalFormatting sqref="B47">
    <cfRule type="cellIs" dxfId="7" priority="9" operator="greaterThan">
      <formula>0</formula>
    </cfRule>
  </conditionalFormatting>
  <conditionalFormatting sqref="B100:B103">
    <cfRule type="expression" dxfId="6" priority="18">
      <formula>ISNUMBER(SEARCH("✓",B100))</formula>
    </cfRule>
    <cfRule type="expression" dxfId="5" priority="19">
      <formula>ISNUMBER(SEARCH("✗",B100))</formula>
    </cfRule>
    <cfRule type="expression" dxfId="4" priority="20">
      <formula>ISNUMBER(SEARCH("⚠",B100))</formula>
    </cfRule>
  </conditionalFormatting>
  <conditionalFormatting sqref="B116">
    <cfRule type="cellIs" dxfId="3" priority="30" operator="lessThan">
      <formula>1</formula>
    </cfRule>
    <cfRule type="cellIs" dxfId="2" priority="31" operator="greaterThan">
      <formula>1.5</formula>
    </cfRule>
  </conditionalFormatting>
  <conditionalFormatting sqref="B75:E75">
    <cfRule type="cellIs" dxfId="1" priority="10" operator="lessThan">
      <formula>1</formula>
    </cfRule>
    <cfRule type="cellIs" dxfId="0" priority="11" operator="greaterThan">
      <formula>1.5</formula>
    </cfRule>
  </conditionalFormatting>
  <dataValidations disablePrompts="1" count="1">
    <dataValidation type="list" error="Pick A / B / C / Custom / MTM" prompt="Pick scenario" sqref="B4" xr:uid="{00000000-0002-0000-0000-000000000000}">
      <formula1>"A,B,C,Custom,MTM"</formula1>
    </dataValidation>
  </dataValidations>
  <printOptions horizontalCentered="1"/>
  <pageMargins left="1" right="1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CB_Arb_PnL</vt:lpstr>
      <vt:lpstr>CB_Arb_PnL!Print_Area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Young Bang</cp:lastModifiedBy>
  <dcterms:created xsi:type="dcterms:W3CDTF">2026-04-19T15:11:11Z</dcterms:created>
  <dcterms:modified xsi:type="dcterms:W3CDTF">2026-04-19T15:16:22Z</dcterms:modified>
</cp:coreProperties>
</file>